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8.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8" name="DP Addendum" state="visible" r:id="rId4"/>
    <sheet sheetId="3" name="Reference Tables" state="visible" r:id="rId5"/>
  </sheets>
  <definedNames>
    <definedName name="_xlnm.Print_Area" localSheetId="0">'DP Addendum'!$A1:$M91</definedName>
    <definedName name="_xlnm.Print_Area" localSheetId="1">'Reference Tables'!$A1:$M31</definedName>
  </definedNames>
  <calcPr calcId="171027" fullCalcOnLoad="1"/>
</workbook>
</file>

<file path=xl/sharedStrings.xml><?xml version="1.0" encoding="utf-8"?>
<sst xmlns="http://schemas.openxmlformats.org/spreadsheetml/2006/main" count="225" uniqueCount="163">
  <si>
    <r>
      <rPr>
        <b/>
        <color theme="1"/>
        <family val="2"/>
        <scheme val="minor"/>
        <sz val="16"/>
        <rFont val="Calibri"/>
      </rPr>
      <t>DP Addendum</t>
    </r>
    <r>
      <rPr>
        <b/>
        <color theme="1"/>
        <family val="2"/>
        <scheme val="minor"/>
        <sz val="12"/>
        <rFont val="Calibri"/>
      </rPr>
      <t xml:space="preserve">
</t>
    </r>
    <r>
      <rPr>
        <b/>
        <color theme="1"/>
        <family val="2"/>
        <scheme val="minor"/>
        <sz val="10"/>
        <rFont val="Calibri"/>
      </rPr>
      <t xml:space="preserve"> Last updated: </t>
    </r>
    <r>
      <rPr>
        <b/>
        <family val="2"/>
        <scheme val="minor"/>
        <sz val="10"/>
        <rFont val="Calibri"/>
      </rPr>
      <t>June 2026</t>
    </r>
  </si>
  <si>
    <t xml:space="preserve">Complete all gray areas of this form as thoroughly as possible and attach to your agency's budget submission via Agency Budget System. </t>
  </si>
  <si>
    <r>
      <t>Section One: Cu</t>
    </r>
    <r>
      <rPr>
        <b/>
        <family val="2"/>
        <scheme val="minor"/>
        <sz val="16"/>
        <rFont val="Calibri"/>
      </rPr>
      <t>rrent Facility Inform</t>
    </r>
    <r>
      <rPr>
        <b/>
        <color theme="1"/>
        <family val="2"/>
        <scheme val="minor"/>
        <sz val="16"/>
        <rFont val="Calibri"/>
      </rPr>
      <t>ation</t>
    </r>
    <r>
      <rPr>
        <b/>
        <family val="2"/>
        <scheme val="minor"/>
        <sz val="16"/>
        <rFont val="Calibri"/>
      </rPr>
      <t xml:space="preserve"> and Utilization</t>
    </r>
  </si>
  <si>
    <t>UFI Number</t>
  </si>
  <si>
    <t>Lease Number</t>
  </si>
  <si>
    <t>Square Feet</t>
  </si>
  <si>
    <t>Lease End Date</t>
  </si>
  <si>
    <t>City</t>
  </si>
  <si>
    <t>Total Square Feet</t>
  </si>
  <si>
    <t>Total Office Facility Efficiency</t>
  </si>
  <si>
    <t>Total Annual Cost</t>
  </si>
  <si>
    <t>Annual Cost per Square Foot Year</t>
  </si>
  <si>
    <t>User Space Allocation</t>
  </si>
  <si>
    <t>Fully Remote</t>
  </si>
  <si>
    <t>Externally Mobile</t>
  </si>
  <si>
    <t>Resident</t>
  </si>
  <si>
    <t>Total</t>
  </si>
  <si>
    <t>Count</t>
  </si>
  <si>
    <t>*Information will be verified by OFM.</t>
  </si>
  <si>
    <t>Total Square Footage Per User</t>
  </si>
  <si>
    <t>*Refer to Reference Tables tab for user type definitions.</t>
  </si>
  <si>
    <t>Sublease Information</t>
  </si>
  <si>
    <t>Sublease Number</t>
  </si>
  <si>
    <t>Sublease Square Feet</t>
  </si>
  <si>
    <t>Sublease End Date</t>
  </si>
  <si>
    <t>Receivable Income</t>
  </si>
  <si>
    <t>Section Two: Project Information</t>
  </si>
  <si>
    <t xml:space="preserve">Is this project a colocation with another agency? </t>
  </si>
  <si>
    <t xml:space="preserve">Requested County </t>
  </si>
  <si>
    <t>If yes, which agency?</t>
  </si>
  <si>
    <t>Requested City</t>
  </si>
  <si>
    <t xml:space="preserve">Primary Space Type </t>
  </si>
  <si>
    <t xml:space="preserve">Requested Effective Start Date </t>
  </si>
  <si>
    <t xml:space="preserve">Secondary Space Type </t>
  </si>
  <si>
    <t xml:space="preserve">Requested Lease Term (Years) </t>
  </si>
  <si>
    <t xml:space="preserve">Cancellation Clause Required </t>
  </si>
  <si>
    <t>Does your agency have existing facilities in the area? If so, how does this influence your decision to move forward with the above project type?</t>
  </si>
  <si>
    <t>Section Three: Costs</t>
  </si>
  <si>
    <t>Populate agency requested one-time costs in gray fields. Agency may use OFM auto-populated assumptions located on the "Reference Tables" tab.</t>
  </si>
  <si>
    <t>Total One-Time Cost</t>
  </si>
  <si>
    <t>DES Fees</t>
  </si>
  <si>
    <t xml:space="preserve">Tenant 
Improvement</t>
  </si>
  <si>
    <t xml:space="preserve">Technology 
Infrastructure</t>
  </si>
  <si>
    <t xml:space="preserve">New 
Furniture</t>
  </si>
  <si>
    <t xml:space="preserve">Relocation
Furniture</t>
  </si>
  <si>
    <t xml:space="preserve">Moving 
Staff</t>
  </si>
  <si>
    <t xml:space="preserve">Building 
Security</t>
  </si>
  <si>
    <t xml:space="preserve">EV
Expense</t>
  </si>
  <si>
    <t>Other</t>
  </si>
  <si>
    <t>Agency One-Time Cost Assumptions</t>
  </si>
  <si>
    <r>
      <t xml:space="preserve">If the facility is leaving inventory and not being relocated or replaced, stop here. </t>
    </r>
    <r>
      <rPr>
        <b/>
        <color rgb="FFFF0000"/>
        <family val="2"/>
        <scheme val="minor"/>
        <sz val="16"/>
        <rFont val="Calibri"/>
      </rPr>
      <t>🛑</t>
    </r>
  </si>
  <si>
    <t>Projected Annual Costs</t>
  </si>
  <si>
    <t>OFM Office Space Market Rate</t>
  </si>
  <si>
    <t>Lease Cost (Market Rate X SF)</t>
  </si>
  <si>
    <t>Subtotal</t>
  </si>
  <si>
    <t>Additional Parking</t>
  </si>
  <si>
    <t>Annual Cost per Square Foot</t>
  </si>
  <si>
    <t>*Cost per square foot per year</t>
  </si>
  <si>
    <t>Section Four: Space Allocation</t>
  </si>
  <si>
    <r>
      <t>This tool will calculate total allocated square footage and total square footage per u</t>
    </r>
    <r>
      <rPr>
        <b/>
        <family val="2"/>
        <scheme val="minor"/>
        <sz val="12"/>
        <rFont val="Calibri"/>
      </rPr>
      <t xml:space="preserve">ser. Please use the Telework Schedule Crosswalk tables on the "Reference Tables" Tab. If </t>
    </r>
    <r>
      <rPr>
        <b/>
        <color theme="1"/>
        <family val="2"/>
        <scheme val="minor"/>
        <sz val="12"/>
        <rFont val="Calibri"/>
      </rPr>
      <t>your agency requires program-specific space beyond the standard allocation, enter the type of space and desired square footage, which will be added to the baseline allocation. Agencies must justify the need for any program-specific spaces.  If allocation is over 20,000 sq ft provide the Life Cycle Cost Model Tool as an addendum to this form.</t>
    </r>
  </si>
  <si>
    <t>D</t>
  </si>
  <si>
    <t>Baseline User Space Allocation</t>
  </si>
  <si>
    <t>SQ FT</t>
  </si>
  <si>
    <t>Percent of SQ FT per user type</t>
  </si>
  <si>
    <t>Program Specific Spaces</t>
  </si>
  <si>
    <t>Workspace Types</t>
  </si>
  <si>
    <t>Total Count</t>
  </si>
  <si>
    <t>Offices</t>
  </si>
  <si>
    <t>Cubicles</t>
  </si>
  <si>
    <t>Touchdown Spaces</t>
  </si>
  <si>
    <t>Common Shared Space Types</t>
  </si>
  <si>
    <t>Conference Rooms</t>
  </si>
  <si>
    <t>Break Rooms</t>
  </si>
  <si>
    <t>Program Specific Spaces Total SQ FT</t>
  </si>
  <si>
    <t>Restrooms</t>
  </si>
  <si>
    <t>Wellness Rooms</t>
  </si>
  <si>
    <t>Total Allocated Square Footage</t>
  </si>
  <si>
    <t>Total Rentable Square Footage Per User</t>
  </si>
  <si>
    <t>Please explain additional site requirements, if applicable.</t>
  </si>
  <si>
    <t>Section Five: Cost Analysis</t>
  </si>
  <si>
    <t>Below is the difference between projected state and current state (projected metrics minus current metrics).</t>
  </si>
  <si>
    <t>Users</t>
  </si>
  <si>
    <t>Cost</t>
  </si>
  <si>
    <t>Facility Square Feet</t>
  </si>
  <si>
    <t>Square Foot Per User</t>
  </si>
  <si>
    <t>Annual Cost</t>
  </si>
  <si>
    <t>4-year net impact to annual cost</t>
  </si>
  <si>
    <t>Overall, project net impact (including one-time costs)</t>
  </si>
  <si>
    <t>SPACE TYPE</t>
  </si>
  <si>
    <t>PROJECT TYPE</t>
  </si>
  <si>
    <t>FISCAL YEAR</t>
  </si>
  <si>
    <t>Six Year Plan</t>
  </si>
  <si>
    <t>Not a Listed Space Type</t>
  </si>
  <si>
    <t>CONSOLIDATION</t>
  </si>
  <si>
    <t>NO</t>
  </si>
  <si>
    <t>110 - Classroom</t>
  </si>
  <si>
    <t>EXPANSION</t>
  </si>
  <si>
    <t>YES</t>
  </si>
  <si>
    <t>120 - Training</t>
  </si>
  <si>
    <t>IMPROVEMENT</t>
  </si>
  <si>
    <t>26 (7/25-6/26)</t>
  </si>
  <si>
    <t>270 - Laboratories</t>
  </si>
  <si>
    <t>NEW SPACE</t>
  </si>
  <si>
    <t>27 (7/26-6/27)</t>
  </si>
  <si>
    <t>Request Type</t>
  </si>
  <si>
    <t>310 - Office - General</t>
  </si>
  <si>
    <t>RELOCATION</t>
  </si>
  <si>
    <t>28 (7/27-6/28)</t>
  </si>
  <si>
    <t>311 - Office - Administrative</t>
  </si>
  <si>
    <t>29 (7/28-6/29)</t>
  </si>
  <si>
    <t>STANDARD UP TO 20,000 SF</t>
  </si>
  <si>
    <t>312 - Office - Services</t>
  </si>
  <si>
    <t>STANDARD GREATER THAN 20,000 SF</t>
  </si>
  <si>
    <t>313 - Office - Project</t>
  </si>
  <si>
    <t>TEMPORARY REQUEST</t>
  </si>
  <si>
    <t>314 - Office - Field</t>
  </si>
  <si>
    <t>EMERGENCY REQUEST</t>
  </si>
  <si>
    <t>350 - Conference</t>
  </si>
  <si>
    <t>420 - Library</t>
  </si>
  <si>
    <t>502 - Hearing</t>
  </si>
  <si>
    <t>590 - Other</t>
  </si>
  <si>
    <t>630 - Food Facility</t>
  </si>
  <si>
    <t>710 - IT Communication</t>
  </si>
  <si>
    <t>720 - Shop</t>
  </si>
  <si>
    <t>730 - Storage</t>
  </si>
  <si>
    <t>740 - Vehicle Storage</t>
  </si>
  <si>
    <t>800 - Health Care</t>
  </si>
  <si>
    <t>900 - Residential</t>
  </si>
  <si>
    <t>No</t>
  </si>
  <si>
    <t>Yes</t>
  </si>
  <si>
    <t>Reference Tables</t>
  </si>
  <si>
    <t>Telework Crosswalk 8-Hour Days</t>
  </si>
  <si>
    <t>User Type and (HRMS Telework EE Code)*</t>
  </si>
  <si>
    <r>
      <rPr>
        <b/>
        <family val="2"/>
        <scheme val="minor"/>
        <sz val="11"/>
        <rFont val="Calibri"/>
      </rPr>
      <t xml:space="preserve">MyPortal Telework Participation
(One Week Period)</t>
    </r>
  </si>
  <si>
    <t>9-Hour Days</t>
  </si>
  <si>
    <t>10-Hour Days</t>
  </si>
  <si>
    <t>MyPortal Telework Participation (One Week Period)</t>
  </si>
  <si>
    <t>8-Hour Days</t>
  </si>
  <si>
    <r>
      <rPr>
        <b/>
        <family val="2"/>
        <scheme val="minor"/>
        <sz val="11"/>
        <rFont val="Calibri"/>
      </rPr>
      <t xml:space="preserve">Planned Days in Office
(Every Two Weeks)</t>
    </r>
  </si>
  <si>
    <t>% in Office (Every Two Weeks)</t>
  </si>
  <si>
    <t>Planned Days in Office (Every Two Weeks)</t>
  </si>
  <si>
    <t>Fully Remote (EP9)</t>
  </si>
  <si>
    <t>Full time/Near full time remote</t>
  </si>
  <si>
    <t>0 regularly scheduled days</t>
  </si>
  <si>
    <t>Externally Mobile (EP8)</t>
  </si>
  <si>
    <t>Externally Mobile (EP7)</t>
  </si>
  <si>
    <t>Externally Mobile (EP6)**</t>
  </si>
  <si>
    <t>Resident (EP6)**</t>
  </si>
  <si>
    <t>Resident (EP5)</t>
  </si>
  <si>
    <t>Resident (EP0)</t>
  </si>
  <si>
    <t>Less than one day/ ad hoc</t>
  </si>
  <si>
    <t>Less than one day/ad hoc</t>
  </si>
  <si>
    <t>Resident (NP)</t>
  </si>
  <si>
    <t>Not Participating</t>
  </si>
  <si>
    <t>*Refer to the HRMS data definitions resource guide, Telework (EE), to view the Telework code definitions. Be aware that HRMS captures the time spent teleworking, whereas OFM Facilities Oversight policy refers to the time spent in the office.</t>
  </si>
  <si>
    <t xml:space="preserve">*HRMS Telework EE Code EP6 may be categized as Resident or Externally Mobile depending on the work schedule. </t>
  </si>
  <si>
    <t>Standards</t>
  </si>
  <si>
    <t>User space</t>
  </si>
  <si>
    <t>Conference/shared spaces</t>
  </si>
  <si>
    <t>Circulation=40% of spaces</t>
  </si>
  <si>
    <t>Building Services=15% total</t>
  </si>
  <si>
    <t xml:space="preserve">Rentable Square Footage Per User 
(rounded to next square foot)</t>
  </si>
  <si>
    <t xml:space="preserve">*These costs will automatically calculate with OFM cost assumptions once the proposed information is entered on the DP Addendum Form.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</si>
</sst>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quot;#,##0.00"/>
    <numFmt numFmtId="165" formatCode="&quot;$&quot;#,##0"/>
    <numFmt numFmtId="166" formatCode="&quot;$&quot;#,##0_);[Red](&quot;$&quot;#,##0)"/>
    <numFmt numFmtId="167" formatCode="_(&quot;$&quot;* #,##0_);_(&quot;$&quot;* (#,##0);_(&quot;$&quot;* &quot;-&quot;??_);_(@_)"/>
  </numFmts>
  <fonts count="26" x14ac:knownFonts="1">
    <font>
      <color theme="1"/>
      <family val="2"/>
      <scheme val="minor"/>
      <sz val="11"/>
      <name val="Calibri"/>
    </font>
    <font>
      <color rgb="FFFF0000"/>
      <family val="2"/>
      <scheme val="minor"/>
      <sz val="11"/>
      <name val="Calibri"/>
    </font>
    <font>
      <b/>
      <color theme="1"/>
      <family val="2"/>
      <scheme val="minor"/>
      <sz val="12"/>
      <name val="Calibri"/>
    </font>
    <font>
      <b/>
      <color theme="1"/>
      <family val="2"/>
      <scheme val="minor"/>
      <sz val="11"/>
      <name val="Calibri"/>
    </font>
    <font>
      <color theme="1"/>
      <family val="2"/>
      <scheme val="minor"/>
      <sz val="16"/>
      <name val="Calibri"/>
    </font>
    <font>
      <b/>
      <color theme="1"/>
      <family val="2"/>
      <scheme val="minor"/>
      <sz val="16"/>
      <name val="Calibri"/>
    </font>
    <font>
      <color rgb="FFFF0000"/>
      <family val="2"/>
      <scheme val="minor"/>
      <sz val="16"/>
      <name val="Calibri"/>
    </font>
    <font>
      <color theme="1"/>
      <family val="2"/>
      <scheme val="minor"/>
      <sz val="10"/>
      <name val="Calibri"/>
    </font>
    <font>
      <i/>
      <color theme="1"/>
      <family val="2"/>
      <scheme val="minor"/>
      <sz val="9"/>
      <name val="Calibri"/>
    </font>
    <font>
      <i/>
      <color theme="1"/>
      <family val="2"/>
      <scheme val="minor"/>
      <sz val="11"/>
      <name val="Calibri"/>
    </font>
    <font>
      <i/>
      <color theme="1"/>
      <family val="2"/>
      <scheme val="minor"/>
      <sz val="10"/>
      <name val="Calibri"/>
    </font>
    <font>
      <family val="2"/>
      <scheme val="minor"/>
      <sz val="11"/>
      <name val="Calibri"/>
    </font>
    <font>
      <b/>
      <color theme="1"/>
      <family val="2"/>
      <scheme val="minor"/>
      <sz val="10"/>
      <name val="Calibri"/>
    </font>
    <font>
      <b/>
      <family val="2"/>
      <scheme val="minor"/>
      <sz val="16"/>
      <name val="Calibri"/>
    </font>
    <font>
      <u/>
      <color theme="10"/>
      <family val="2"/>
      <scheme val="minor"/>
      <sz val="11"/>
      <name val="Calibri"/>
    </font>
    <font>
      <color theme="1"/>
      <family val="2"/>
      <scheme val="minor"/>
      <sz val="12"/>
      <name val="Calibri"/>
    </font>
    <font>
      <b/>
      <color rgb="FFFF0000"/>
      <family val="2"/>
      <scheme val="minor"/>
      <sz val="12"/>
      <name val="Calibri"/>
    </font>
    <font>
      <b/>
      <color theme="1"/>
      <family val="2"/>
      <sz val="11"/>
      <name val="Calibri"/>
    </font>
    <font>
      <family val="2"/>
      <scheme val="minor"/>
      <sz val="12"/>
      <name val="Calibri"/>
    </font>
    <font>
      <b/>
      <i/>
      <color theme="1"/>
      <family val="2"/>
      <scheme val="minor"/>
      <sz val="12"/>
      <name val="Calibri"/>
    </font>
    <font>
      <b/>
      <i/>
      <color theme="1"/>
      <family val="2"/>
      <scheme val="minor"/>
      <sz val="11"/>
      <name val="Calibri"/>
    </font>
    <font>
      <b/>
      <color rgb="FFFF0000"/>
      <family val="2"/>
      <scheme val="minor"/>
      <sz val="11"/>
      <name val="Calibri"/>
    </font>
    <font>
      <color rgb="FF575757"/>
      <family val="2"/>
      <sz val="7"/>
      <name val="Open Sans"/>
    </font>
    <font>
      <b/>
      <family val="2"/>
      <scheme val="minor"/>
      <sz val="20"/>
      <name val="Calibri"/>
    </font>
    <font>
      <b/>
      <family val="2"/>
      <scheme val="minor"/>
      <sz val="11"/>
      <name val="Calibri"/>
    </font>
    <font>
      <i/>
      <family val="2"/>
      <scheme val="minor"/>
      <sz val="11"/>
      <name val="Calibri"/>
    </font>
  </fonts>
  <fills count="6">
    <fill>
      <patternFill patternType="none"/>
    </fill>
    <fill>
      <patternFill patternType="gray125"/>
    </fill>
    <fill>
      <patternFill patternType="solid">
        <fgColor theme="0" tint="-0.3499862666707358"/>
        <bgColor indexed="64"/>
      </patternFill>
    </fill>
    <fill>
      <patternFill patternType="solid">
        <fgColor theme="0" tint="-0.1499984740745262"/>
        <bgColor indexed="64"/>
      </patternFill>
    </fill>
    <fill>
      <patternFill patternType="solid">
        <fgColor theme="0"/>
        <bgColor indexed="64"/>
      </patternFill>
    </fill>
    <fill>
      <patternFill patternType="solid">
        <fgColor theme="2" tint="-0.0999786370433668"/>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rgb="FF000000"/>
      </right>
      <top style="medium">
        <color indexed="64"/>
      </top>
      <bottom/>
      <diagonal/>
    </border>
    <border>
      <left style="thin">
        <color rgb="FF000000"/>
      </left>
      <right/>
      <top style="medium">
        <color indexed="64"/>
      </top>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style="thin">
        <color rgb="FF000000"/>
      </bottom>
      <diagonal/>
    </border>
    <border>
      <left style="medium">
        <color indexed="64"/>
      </left>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rgb="FF000000"/>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287">
    <xf numFmtId="0" fontId="0" fillId="0" borderId="0" xfId="0"/>
    <xf numFmtId="0" fontId="0" fillId="0" borderId="0" xfId="0" applyProtection="1">
      <protection hidden="1"/>
    </xf>
    <xf numFmtId="0" fontId="1" fillId="0" borderId="0" xfId="0" applyFont="1" applyProtection="1">
      <protection hidden="1"/>
    </xf>
    <xf numFmtId="0" fontId="2" fillId="0" borderId="0" xfId="0" applyFont="1" applyAlignment="1" applyProtection="1">
      <alignment horizontal="center" vertical="center" wrapText="1"/>
      <protection hidden="1"/>
    </xf>
    <xf numFmtId="0" fontId="2" fillId="0" borderId="0" xfId="0" applyFont="1" applyAlignment="1" applyProtection="1">
      <alignment horizontal="center"/>
      <protection hidden="1"/>
    </xf>
    <xf numFmtId="0" fontId="3" fillId="0" borderId="0" xfId="0" applyFont="1" applyAlignment="1">
      <alignment horizontal="center"/>
    </xf>
    <xf numFmtId="0" fontId="4" fillId="0" borderId="0" xfId="0" applyFont="1" applyProtection="1">
      <protection hidden="1"/>
    </xf>
    <xf numFmtId="0" fontId="5" fillId="2" borderId="1" xfId="0" applyFont="1" applyFill="1" applyBorder="1" applyAlignment="1" applyProtection="1">
      <alignment horizontal="center"/>
      <protection hidden="1"/>
    </xf>
    <xf numFmtId="0" fontId="6" fillId="0" borderId="0" xfId="0" applyFont="1" applyProtection="1">
      <protection hidden="1"/>
    </xf>
    <xf numFmtId="0" fontId="2" fillId="0" borderId="2" xfId="0" applyFont="1" applyBorder="1" applyAlignment="1" applyProtection="1">
      <alignment horizontal="center"/>
      <protection hidden="1"/>
    </xf>
    <xf numFmtId="0" fontId="7" fillId="0" borderId="3" xfId="0" applyFont="1" applyBorder="1" applyAlignment="1" applyProtection="1">
      <alignment horizontal="right"/>
      <protection hidden="1"/>
    </xf>
    <xf numFmtId="49" fontId="0" fillId="3" borderId="1" xfId="0" applyNumberFormat="1" applyFill="1" applyBorder="1" applyAlignment="1" applyProtection="1">
      <alignment horizontal="center"/>
      <protection locked="0"/>
    </xf>
    <xf numFmtId="0" fontId="7" fillId="0" borderId="0" xfId="0" applyFont="1" applyProtection="1">
      <protection hidden="1"/>
    </xf>
    <xf numFmtId="0" fontId="7" fillId="0" borderId="0" xfId="0" applyFont="1" applyAlignment="1" applyProtection="1">
      <alignment horizontal="right"/>
      <protection hidden="1"/>
    </xf>
    <xf numFmtId="3" fontId="0" fillId="3" borderId="1" xfId="0" applyNumberFormat="1" applyFill="1" applyBorder="1" applyAlignment="1" applyProtection="1">
      <alignment horizontal="right"/>
      <protection locked="0"/>
    </xf>
    <xf numFmtId="3" fontId="7" fillId="0" borderId="0" xfId="0" applyNumberFormat="1" applyFont="1" applyAlignment="1" applyProtection="1">
      <alignment horizontal="right"/>
      <protection hidden="1"/>
    </xf>
    <xf numFmtId="14" fontId="0" fillId="3" borderId="1" xfId="0" applyNumberFormat="1" applyFill="1" applyBorder="1" applyAlignment="1" applyProtection="1">
      <alignment horizontal="center"/>
      <protection locked="0"/>
    </xf>
    <xf numFmtId="49" fontId="1" fillId="0" borderId="0" xfId="0" applyNumberFormat="1" applyFont="1" applyProtection="1">
      <protection hidden="1"/>
    </xf>
    <xf numFmtId="49" fontId="0" fillId="3" borderId="4" xfId="0" applyNumberFormat="1" applyFill="1" applyBorder="1" applyAlignment="1" applyProtection="1">
      <alignment horizontal="center"/>
      <protection locked="0"/>
    </xf>
    <xf numFmtId="0" fontId="0" fillId="0" borderId="0" xfId="0" applyAlignment="1" applyProtection="1">
      <alignment horizontal="right"/>
      <protection hidden="1"/>
    </xf>
    <xf numFmtId="3" fontId="0" fillId="4" borderId="1" xfId="0" applyNumberFormat="1" applyFill="1" applyBorder="1" applyProtection="1">
      <protection hidden="1"/>
    </xf>
    <xf numFmtId="3" fontId="0" fillId="0" borderId="0" xfId="0" applyNumberFormat="1" applyProtection="1">
      <protection hidden="1"/>
    </xf>
    <xf numFmtId="9" fontId="0" fillId="0" borderId="1" xfId="0" applyNumberFormat="1" applyBorder="1" applyProtection="1">
      <protection hidden="1"/>
    </xf>
    <xf numFmtId="0" fontId="0" fillId="0" borderId="0" xfId="0" applyAlignment="1" applyProtection="1">
      <alignment horizontal="right" vertical="center" indent="1"/>
      <protection hidden="1"/>
    </xf>
    <xf numFmtId="164" fontId="0" fillId="3" borderId="1" xfId="0" applyNumberFormat="1" applyFill="1" applyBorder="1" applyAlignment="1" applyProtection="1">
      <alignment horizontal="center"/>
      <protection locked="0"/>
    </xf>
    <xf numFmtId="164" fontId="0" fillId="0" borderId="0" xfId="0" applyNumberFormat="1" applyAlignment="1" applyProtection="1">
      <alignment horizontal="center" wrapText="1"/>
      <protection locked="0" hidden="1"/>
    </xf>
    <xf numFmtId="164" fontId="0" fillId="0" borderId="1" xfId="0" applyNumberFormat="1" applyBorder="1" applyAlignment="1" applyProtection="1">
      <alignment horizontal="center"/>
      <protection hidden="1"/>
    </xf>
    <xf numFmtId="1" fontId="0" fillId="0" borderId="0" xfId="0" applyNumberFormat="1" applyProtection="1">
      <protection hidden="1"/>
    </xf>
    <xf numFmtId="0" fontId="3" fillId="0" borderId="5" xfId="0" applyFont="1" applyBorder="1" applyAlignment="1" applyProtection="1">
      <alignment horizontal="center" vertical="center" wrapText="1"/>
      <protection hidden="1"/>
    </xf>
    <xf numFmtId="0" fontId="3" fillId="0" borderId="6" xfId="0" applyFont="1" applyBorder="1" applyAlignment="1" applyProtection="1">
      <alignment horizontal="center" vertical="center" wrapText="1"/>
      <protection hidden="1"/>
    </xf>
    <xf numFmtId="0" fontId="3" fillId="0" borderId="1" xfId="0" applyFont="1" applyBorder="1" applyAlignment="1" applyProtection="1">
      <alignment horizontal="center" vertical="center"/>
      <protection hidden="1"/>
    </xf>
    <xf numFmtId="0" fontId="3" fillId="0" borderId="5"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hidden="1"/>
    </xf>
    <xf numFmtId="3" fontId="0" fillId="3" borderId="1" xfId="0" applyNumberFormat="1" applyFill="1" applyBorder="1" applyAlignment="1" applyProtection="1">
      <alignment horizontal="center" vertical="center"/>
      <protection locked="0"/>
    </xf>
    <xf numFmtId="3" fontId="0" fillId="3" borderId="5" xfId="0" applyNumberFormat="1" applyFill="1" applyBorder="1" applyAlignment="1" applyProtection="1">
      <alignment horizontal="center" vertical="center"/>
      <protection locked="0"/>
    </xf>
    <xf numFmtId="3" fontId="0" fillId="3" borderId="6" xfId="0" applyNumberFormat="1" applyFill="1" applyBorder="1" applyAlignment="1" applyProtection="1">
      <alignment horizontal="center" vertical="center"/>
      <protection locked="0"/>
    </xf>
    <xf numFmtId="3" fontId="0" fillId="0" borderId="5" xfId="0" applyNumberFormat="1" applyBorder="1" applyAlignment="1" applyProtection="1">
      <alignment horizontal="center" vertical="center"/>
      <protection hidden="1"/>
    </xf>
    <xf numFmtId="3" fontId="0" fillId="0" borderId="6" xfId="0" applyNumberFormat="1" applyBorder="1" applyAlignment="1" applyProtection="1">
      <alignment horizontal="center" vertical="center"/>
      <protection hidden="1"/>
    </xf>
    <xf numFmtId="0" fontId="8" fillId="4" borderId="0" xfId="0" applyFont="1" applyFill="1" applyProtection="1">
      <protection hidden="1"/>
    </xf>
    <xf numFmtId="0" fontId="0" fillId="0" borderId="0" xfId="0" applyAlignment="1" applyProtection="1">
      <alignment horizontal="center" wrapText="1"/>
      <protection hidden="1"/>
    </xf>
    <xf numFmtId="1" fontId="0" fillId="0" borderId="1" xfId="0" applyNumberFormat="1" applyBorder="1" applyAlignment="1" applyProtection="1">
      <alignment horizontal="center"/>
      <protection hidden="1"/>
    </xf>
    <xf numFmtId="0" fontId="9" fillId="0" borderId="0" xfId="0" applyFont="1" applyAlignment="1" applyProtection="1">
      <alignment horizontal="left" vertical="center"/>
      <protection hidden="1"/>
    </xf>
    <xf numFmtId="0" fontId="3" fillId="0" borderId="0" xfId="0" applyFont="1" applyAlignment="1" applyProtection="1">
      <alignment horizontal="center" vertical="center" wrapText="1"/>
      <protection hidden="1"/>
    </xf>
    <xf numFmtId="3" fontId="0" fillId="0" borderId="0" xfId="0" applyNumberFormat="1" applyAlignment="1">
      <alignment horizontal="center" vertical="center"/>
    </xf>
    <xf numFmtId="3" fontId="0" fillId="0" borderId="0" xfId="0" applyNumberFormat="1" applyAlignment="1" applyProtection="1">
      <alignment horizontal="center" vertical="center"/>
      <protection hidden="1"/>
    </xf>
    <xf numFmtId="3" fontId="0" fillId="4" borderId="7" xfId="0" applyNumberFormat="1" applyFill="1" applyBorder="1" applyAlignment="1" applyProtection="1">
      <alignment horizontal="center"/>
      <protection hidden="1"/>
    </xf>
    <xf numFmtId="0" fontId="10" fillId="0" borderId="0" xfId="0" applyFont="1" applyProtection="1">
      <protection hidden="1"/>
    </xf>
    <xf numFmtId="0" fontId="3" fillId="0" borderId="0" xfId="0" applyFont="1" applyProtection="1">
      <protection hidden="1"/>
    </xf>
    <xf numFmtId="0" fontId="3" fillId="0" borderId="0" xfId="0" applyFont="1" applyAlignment="1" applyProtection="1">
      <alignment wrapText="1"/>
      <protection hidden="1"/>
    </xf>
    <xf numFmtId="49" fontId="0" fillId="0" borderId="0" xfId="0" applyNumberFormat="1" applyAlignment="1" applyProtection="1">
      <alignment horizontal="center"/>
      <protection hidden="1"/>
    </xf>
    <xf numFmtId="9" fontId="0" fillId="0" borderId="0" xfId="0" applyNumberFormat="1" applyAlignment="1">
      <alignment horizontal="center"/>
    </xf>
    <xf numFmtId="3" fontId="0" fillId="0" borderId="0" xfId="0" applyNumberFormat="1" applyAlignment="1" applyProtection="1">
      <alignment horizontal="center"/>
      <protection hidden="1"/>
    </xf>
    <xf numFmtId="164" fontId="0" fillId="0" borderId="0" xfId="0" applyNumberFormat="1" applyProtection="1">
      <protection hidden="1"/>
    </xf>
    <xf numFmtId="0" fontId="3" fillId="0" borderId="0" xfId="0" applyFont="1" applyAlignment="1" applyProtection="1">
      <alignment horizontal="center"/>
      <protection hidden="1"/>
    </xf>
    <xf numFmtId="49" fontId="7" fillId="0" borderId="0" xfId="0" applyNumberFormat="1" applyFont="1" applyAlignment="1" applyProtection="1">
      <alignment horizontal="right"/>
      <protection locked="0"/>
    </xf>
    <xf numFmtId="164" fontId="0" fillId="3" borderId="1" xfId="0" applyNumberFormat="1" applyFill="1" applyBorder="1" applyProtection="1">
      <protection locked="0"/>
    </xf>
    <xf numFmtId="3" fontId="0" fillId="3" borderId="4" xfId="0" applyNumberFormat="1" applyFill="1" applyBorder="1" applyAlignment="1" applyProtection="1">
      <alignment horizontal="right"/>
      <protection locked="0"/>
    </xf>
    <xf numFmtId="14" fontId="0" fillId="3" borderId="4" xfId="0" applyNumberFormat="1" applyFill="1" applyBorder="1" applyAlignment="1" applyProtection="1">
      <alignment horizontal="center"/>
      <protection locked="0"/>
    </xf>
    <xf numFmtId="165" fontId="0" fillId="0" borderId="0" xfId="0" applyNumberFormat="1" applyAlignment="1">
      <alignment horizontal="right"/>
    </xf>
    <xf numFmtId="0" fontId="3" fillId="0" borderId="7" xfId="0" applyFont="1" applyBorder="1" applyAlignment="1" applyProtection="1">
      <alignment horizontal="left"/>
      <protection hidden="1"/>
    </xf>
    <xf numFmtId="0" fontId="11" fillId="3" borderId="1" xfId="0" applyFont="1" applyFill="1" applyBorder="1" applyAlignment="1" applyProtection="1">
      <alignment horizontal="center" vertical="center"/>
      <protection locked="0"/>
    </xf>
    <xf numFmtId="1" fontId="11" fillId="3" borderId="1" xfId="0" applyNumberFormat="1" applyFont="1" applyFill="1" applyBorder="1" applyAlignment="1" applyProtection="1">
      <alignment horizontal="center"/>
      <protection locked="0"/>
    </xf>
    <xf numFmtId="0" fontId="0" fillId="0" borderId="0" xfId="0" applyAlignment="1">
      <alignment horizontal="left"/>
    </xf>
    <xf numFmtId="0" fontId="11" fillId="0" borderId="0" xfId="0" applyFont="1" applyAlignment="1" applyProtection="1">
      <alignment horizontal="right"/>
      <protection hidden="1"/>
    </xf>
    <xf numFmtId="0" fontId="11" fillId="3" borderId="5" xfId="0" applyFont="1" applyFill="1" applyBorder="1" applyAlignment="1" applyProtection="1">
      <alignment horizontal="center"/>
      <protection locked="0"/>
    </xf>
    <xf numFmtId="0" fontId="11" fillId="3" borderId="8" xfId="0" applyFont="1" applyFill="1" applyBorder="1" applyAlignment="1" applyProtection="1">
      <alignment horizontal="center"/>
      <protection locked="0"/>
    </xf>
    <xf numFmtId="0" fontId="11" fillId="3" borderId="6" xfId="0" applyFont="1" applyFill="1" applyBorder="1" applyAlignment="1" applyProtection="1">
      <alignment horizontal="center"/>
      <protection locked="0"/>
    </xf>
    <xf numFmtId="14" fontId="11" fillId="3" borderId="1" xfId="0" applyNumberFormat="1" applyFont="1" applyFill="1" applyBorder="1" applyAlignment="1" applyProtection="1">
      <alignment horizontal="center"/>
      <protection locked="0"/>
    </xf>
    <xf numFmtId="49" fontId="11" fillId="3" borderId="1" xfId="0" applyNumberFormat="1" applyFont="1" applyFill="1" applyBorder="1" applyAlignment="1" applyProtection="1">
      <alignment horizontal="center"/>
      <protection locked="0"/>
    </xf>
    <xf numFmtId="0" fontId="3" fillId="0" borderId="0" xfId="0" applyFont="1" applyAlignment="1" applyProtection="1">
      <alignment horizontal="left"/>
      <protection hidden="1"/>
    </xf>
    <xf numFmtId="0" fontId="0" fillId="0" borderId="0" xfId="0" applyAlignment="1" applyProtection="1">
      <alignment horizontal="left" wrapText="1"/>
      <protection hidden="1"/>
    </xf>
    <xf numFmtId="0" fontId="0" fillId="3" borderId="1" xfId="0" applyFill="1" applyBorder="1" applyAlignment="1" applyProtection="1">
      <alignment horizontal="left" vertical="top" wrapText="1"/>
      <protection locked="0"/>
    </xf>
    <xf numFmtId="0" fontId="0" fillId="0" borderId="0" xfId="0" applyAlignment="1" applyProtection="1">
      <alignment horizontal="left" vertical="top" wrapText="1"/>
      <protection locked="0" hidden="1"/>
    </xf>
    <xf numFmtId="0" fontId="5" fillId="2" borderId="5" xfId="0" applyFont="1" applyFill="1" applyBorder="1" applyAlignment="1" applyProtection="1">
      <alignment horizontal="center"/>
      <protection hidden="1"/>
    </xf>
    <xf numFmtId="0" fontId="5" fillId="2" borderId="8" xfId="0" applyFont="1" applyFill="1" applyBorder="1" applyAlignment="1" applyProtection="1">
      <alignment horizontal="center"/>
      <protection hidden="1"/>
    </xf>
    <xf numFmtId="0" fontId="5" fillId="2" borderId="6" xfId="0" applyFont="1" applyFill="1" applyBorder="1" applyAlignment="1" applyProtection="1">
      <alignment horizontal="center"/>
      <protection hidden="1"/>
    </xf>
    <xf numFmtId="0" fontId="3" fillId="0" borderId="2" xfId="0" applyFont="1" applyBorder="1" applyAlignment="1" applyProtection="1">
      <alignment horizontal="center"/>
      <protection hidden="1"/>
    </xf>
    <xf numFmtId="0" fontId="12" fillId="0" borderId="1" xfId="0" applyFont="1" applyBorder="1" applyAlignment="1" applyProtection="1">
      <alignment horizontal="center" vertical="center" wrapText="1"/>
      <protection hidden="1"/>
    </xf>
    <xf numFmtId="165" fontId="12" fillId="0" borderId="1" xfId="0" applyNumberFormat="1" applyFont="1" applyBorder="1" applyAlignment="1" applyProtection="1">
      <alignment horizontal="center" vertical="center" wrapText="1"/>
      <protection hidden="1"/>
    </xf>
    <xf numFmtId="0" fontId="12" fillId="0" borderId="5" xfId="0" applyFont="1" applyBorder="1" applyAlignment="1" applyProtection="1">
      <alignment horizontal="center" vertical="center" wrapText="1"/>
      <protection hidden="1"/>
    </xf>
    <xf numFmtId="0" fontId="12" fillId="0" borderId="6" xfId="0" applyFont="1" applyBorder="1" applyAlignment="1" applyProtection="1">
      <alignment horizontal="center" vertical="center" wrapText="1"/>
      <protection hidden="1"/>
    </xf>
    <xf numFmtId="164" fontId="12" fillId="0" borderId="1" xfId="0" applyNumberFormat="1" applyFont="1" applyBorder="1" applyAlignment="1" applyProtection="1">
      <alignment horizontal="center" vertical="center" wrapText="1"/>
      <protection hidden="1"/>
    </xf>
    <xf numFmtId="165" fontId="3" fillId="0" borderId="1" xfId="0" applyNumberFormat="1" applyFont="1" applyBorder="1" applyAlignment="1" applyProtection="1">
      <alignment horizontal="center"/>
      <protection hidden="1"/>
    </xf>
    <xf numFmtId="166" fontId="0" fillId="3" borderId="1" xfId="0" applyNumberFormat="1" applyFill="1" applyBorder="1" applyAlignment="1" applyProtection="1">
      <alignment horizontal="center" wrapText="1"/>
      <protection locked="0"/>
    </xf>
    <xf numFmtId="166" fontId="0" fillId="3" borderId="5" xfId="0" applyNumberFormat="1" applyFill="1" applyBorder="1" applyAlignment="1" applyProtection="1">
      <alignment horizontal="center" wrapText="1"/>
      <protection locked="0"/>
    </xf>
    <xf numFmtId="166" fontId="0" fillId="3" borderId="6" xfId="0" applyNumberFormat="1" applyFill="1" applyBorder="1" applyAlignment="1" applyProtection="1">
      <alignment horizontal="center" wrapText="1"/>
      <protection locked="0"/>
    </xf>
    <xf numFmtId="165" fontId="3" fillId="0" borderId="0" xfId="0" applyNumberFormat="1" applyFont="1" applyAlignment="1" applyProtection="1">
      <alignment horizontal="left"/>
      <protection hidden="1"/>
    </xf>
    <xf numFmtId="165" fontId="3" fillId="0" borderId="0" xfId="0" applyNumberFormat="1" applyFont="1" applyAlignment="1" applyProtection="1">
      <alignment horizontal="center"/>
      <protection hidden="1"/>
    </xf>
    <xf numFmtId="166" fontId="0" fillId="0" borderId="0" xfId="0" applyNumberFormat="1" applyAlignment="1" applyProtection="1">
      <alignment horizontal="center" wrapText="1"/>
      <protection locked="0" hidden="1"/>
    </xf>
    <xf numFmtId="165" fontId="0" fillId="3" borderId="1" xfId="0" applyNumberFormat="1" applyFill="1" applyBorder="1" applyAlignment="1" applyProtection="1">
      <alignment horizontal="left" vertical="top" wrapText="1"/>
      <protection locked="0"/>
    </xf>
    <xf numFmtId="165" fontId="0" fillId="0" borderId="0" xfId="0" applyNumberFormat="1" applyAlignment="1" applyProtection="1">
      <alignment horizontal="left" vertical="top" wrapText="1"/>
      <protection locked="0"/>
    </xf>
    <xf numFmtId="0" fontId="13" fillId="0" borderId="9" xfId="0" applyFont="1" applyBorder="1" applyAlignment="1" applyProtection="1">
      <alignment horizontal="center" vertical="center" wrapText="1"/>
      <protection locked="0" hidden="1"/>
    </xf>
    <xf numFmtId="0" fontId="13" fillId="0" borderId="10" xfId="0" applyFont="1" applyBorder="1" applyAlignment="1" applyProtection="1">
      <alignment horizontal="center" vertical="center" wrapText="1"/>
      <protection locked="0" hidden="1"/>
    </xf>
    <xf numFmtId="0" fontId="13" fillId="0" borderId="11" xfId="0" applyFont="1" applyBorder="1" applyAlignment="1" applyProtection="1">
      <alignment horizontal="center" vertical="center" wrapText="1"/>
      <protection locked="0" hidden="1"/>
    </xf>
    <xf numFmtId="0" fontId="13" fillId="0" borderId="12" xfId="0" applyFont="1" applyBorder="1" applyAlignment="1" applyProtection="1">
      <alignment horizontal="center" vertical="center" wrapText="1"/>
      <protection locked="0" hidden="1"/>
    </xf>
    <xf numFmtId="0" fontId="13" fillId="0" borderId="13" xfId="0" applyFont="1" applyBorder="1" applyAlignment="1" applyProtection="1">
      <alignment horizontal="center" vertical="center" wrapText="1"/>
      <protection locked="0" hidden="1"/>
    </xf>
    <xf numFmtId="0" fontId="13" fillId="0" borderId="14" xfId="0" applyFont="1" applyBorder="1" applyAlignment="1" applyProtection="1">
      <alignment horizontal="center" vertical="center" wrapText="1"/>
      <protection locked="0" hidden="1"/>
    </xf>
    <xf numFmtId="0" fontId="14" fillId="0" borderId="1" xfId="0" applyFont="1" applyBorder="1" applyAlignment="1" applyProtection="1">
      <alignment horizontal="center"/>
      <protection hidden="1"/>
    </xf>
    <xf numFmtId="0" fontId="3" fillId="0" borderId="15" xfId="0"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 xfId="0" applyFont="1" applyBorder="1" applyAlignment="1" applyProtection="1">
      <alignment horizontal="center" vertical="center" wrapText="1"/>
      <protection hidden="1"/>
    </xf>
    <xf numFmtId="0" fontId="9" fillId="0" borderId="1" xfId="0" applyFont="1" applyBorder="1" applyAlignment="1" applyProtection="1">
      <alignment horizontal="center"/>
      <protection hidden="1"/>
    </xf>
    <xf numFmtId="0" fontId="3" fillId="0" borderId="17" xfId="0"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165" fontId="0" fillId="0" borderId="1" xfId="0" applyNumberFormat="1" applyBorder="1" applyAlignment="1" applyProtection="1">
      <alignment horizontal="center"/>
      <protection hidden="1"/>
    </xf>
    <xf numFmtId="165" fontId="0" fillId="3" borderId="1" xfId="0" applyNumberFormat="1" applyFill="1" applyBorder="1" applyAlignment="1" applyProtection="1">
      <alignment horizontal="right"/>
      <protection locked="0"/>
    </xf>
    <xf numFmtId="0" fontId="15" fillId="0" borderId="0" xfId="0" applyFont="1" applyProtection="1">
      <protection hidden="1"/>
    </xf>
    <xf numFmtId="0" fontId="2" fillId="0" borderId="0" xfId="0" applyFont="1" applyAlignment="1" applyProtection="1">
      <alignment horizontal="left" vertical="center" wrapText="1"/>
      <protection hidden="1"/>
    </xf>
    <xf numFmtId="0" fontId="16" fillId="0" borderId="0" xfId="0" applyFont="1" applyAlignment="1" applyProtection="1">
      <alignment horizontal="center"/>
      <protection hidden="1"/>
    </xf>
    <xf numFmtId="0" fontId="0" fillId="4" borderId="0" xfId="0" applyFill="1" applyProtection="1">
      <protection hidden="1"/>
    </xf>
    <xf numFmtId="1" fontId="0" fillId="4" borderId="0" xfId="0" applyNumberFormat="1" applyFill="1" applyProtection="1">
      <protection hidden="1"/>
    </xf>
    <xf numFmtId="0" fontId="2" fillId="4" borderId="0" xfId="0" applyFont="1" applyFill="1" applyAlignment="1" applyProtection="1">
      <alignment horizontal="center"/>
      <protection hidden="1"/>
    </xf>
    <xf numFmtId="0" fontId="0" fillId="0" borderId="5" xfId="0" applyBorder="1" applyAlignment="1" applyProtection="1">
      <alignment horizontal="center"/>
      <protection hidden="1"/>
    </xf>
    <xf numFmtId="0" fontId="0" fillId="0" borderId="6" xfId="0" applyBorder="1" applyAlignment="1" applyProtection="1">
      <alignment horizontal="center"/>
      <protection hidden="1"/>
    </xf>
    <xf numFmtId="3" fontId="0" fillId="3" borderId="1" xfId="0" applyNumberFormat="1" applyFill="1" applyBorder="1" applyProtection="1">
      <protection locked="0"/>
    </xf>
    <xf numFmtId="3" fontId="0" fillId="0" borderId="5" xfId="0" applyNumberFormat="1" applyBorder="1" applyAlignment="1" applyProtection="1">
      <alignment horizontal="right"/>
      <protection hidden="1"/>
    </xf>
    <xf numFmtId="3" fontId="0" fillId="0" borderId="6" xfId="0" applyNumberFormat="1" applyBorder="1" applyAlignment="1" applyProtection="1">
      <alignment horizontal="right"/>
      <protection hidden="1"/>
    </xf>
    <xf numFmtId="9" fontId="0" fillId="0" borderId="1" xfId="0" applyNumberFormat="1" applyBorder="1" applyAlignment="1" applyProtection="1">
      <alignment vertical="center" wrapText="1"/>
      <protection hidden="1"/>
    </xf>
    <xf numFmtId="9" fontId="0" fillId="0" borderId="0" xfId="0" applyNumberFormat="1" applyAlignment="1" applyProtection="1">
      <alignment vertical="center" wrapText="1"/>
      <protection hidden="1"/>
    </xf>
    <xf numFmtId="0" fontId="0" fillId="3" borderId="1" xfId="0" applyFill="1" applyBorder="1" applyAlignment="1" applyProtection="1">
      <alignment horizontal="left"/>
      <protection locked="0"/>
    </xf>
    <xf numFmtId="3" fontId="0" fillId="3" borderId="6" xfId="0" applyNumberFormat="1" applyFill="1" applyBorder="1" applyAlignment="1" applyProtection="1">
      <alignment horizontal="center"/>
      <protection locked="0"/>
    </xf>
    <xf numFmtId="3" fontId="0" fillId="3" borderId="1" xfId="0" applyNumberFormat="1" applyFill="1" applyBorder="1" applyAlignment="1" applyProtection="1">
      <alignment horizontal="center"/>
      <protection locked="0"/>
    </xf>
    <xf numFmtId="0" fontId="0" fillId="0" borderId="1" xfId="0" applyBorder="1" applyAlignment="1" applyProtection="1">
      <alignment horizontal="center"/>
      <protection hidden="1"/>
    </xf>
    <xf numFmtId="9" fontId="0" fillId="0" borderId="0" xfId="0" applyNumberFormat="1" applyProtection="1">
      <protection hidden="1"/>
    </xf>
    <xf numFmtId="3" fontId="0" fillId="3" borderId="8" xfId="0" applyNumberFormat="1" applyFill="1" applyBorder="1" applyAlignment="1" applyProtection="1">
      <alignment horizontal="center"/>
      <protection locked="0"/>
    </xf>
    <xf numFmtId="0" fontId="3" fillId="0" borderId="1" xfId="0" applyFont="1" applyBorder="1" applyAlignment="1" applyProtection="1">
      <alignment horizontal="center"/>
      <protection hidden="1"/>
    </xf>
    <xf numFmtId="3" fontId="3" fillId="0" borderId="1" xfId="0" applyNumberFormat="1" applyFont="1" applyBorder="1" applyProtection="1">
      <protection hidden="1"/>
    </xf>
    <xf numFmtId="3" fontId="3" fillId="0" borderId="5" xfId="0" applyNumberFormat="1" applyFont="1" applyBorder="1" applyAlignment="1" applyProtection="1">
      <alignment horizontal="right"/>
      <protection hidden="1"/>
    </xf>
    <xf numFmtId="3" fontId="3" fillId="0" borderId="6" xfId="0" applyNumberFormat="1" applyFont="1" applyBorder="1" applyAlignment="1" applyProtection="1">
      <alignment horizontal="right"/>
      <protection hidden="1"/>
    </xf>
    <xf numFmtId="9" fontId="3" fillId="0" borderId="1" xfId="0" applyNumberFormat="1" applyFont="1" applyBorder="1" applyProtection="1">
      <protection hidden="1"/>
    </xf>
    <xf numFmtId="9" fontId="3" fillId="0" borderId="0" xfId="0" applyNumberFormat="1" applyFont="1" applyProtection="1">
      <protection hidden="1"/>
    </xf>
    <xf numFmtId="0" fontId="9" fillId="0" borderId="0" xfId="0" applyFont="1" applyProtection="1">
      <protection hidden="1"/>
    </xf>
    <xf numFmtId="0" fontId="0" fillId="0" borderId="0" xfId="0" applyAlignment="1" applyProtection="1">
      <alignment vertical="top" wrapText="1"/>
      <protection locked="0" hidden="1"/>
    </xf>
    <xf numFmtId="0" fontId="2" fillId="0" borderId="0" xfId="0" applyFont="1" applyAlignment="1" applyProtection="1">
      <alignment horizontal="right" wrapText="1"/>
      <protection hidden="1"/>
    </xf>
    <xf numFmtId="0" fontId="2" fillId="0" borderId="0" xfId="0" applyFont="1" applyProtection="1">
      <protection hidden="1"/>
    </xf>
    <xf numFmtId="0" fontId="15" fillId="0" borderId="0" xfId="0" applyFont="1" applyAlignment="1" applyProtection="1">
      <alignment horizontal="right"/>
      <protection hidden="1"/>
    </xf>
    <xf numFmtId="1" fontId="11" fillId="5" borderId="1" xfId="0" applyNumberFormat="1" applyFont="1" applyFill="1" applyBorder="1" applyAlignment="1" applyProtection="1">
      <alignment horizontal="center"/>
      <protection locked="0"/>
    </xf>
    <xf numFmtId="1" fontId="11" fillId="0" borderId="0" xfId="0" applyNumberFormat="1" applyFont="1" applyProtection="1">
      <protection locked="0"/>
    </xf>
    <xf numFmtId="1" fontId="17" fillId="0" borderId="0" xfId="0" applyNumberFormat="1" applyFont="1" applyAlignment="1" applyProtection="1">
      <alignment horizontal="center" vertical="center" wrapText="1"/>
      <protection hidden="1"/>
    </xf>
    <xf numFmtId="3" fontId="0" fillId="0" borderId="0" xfId="0" applyNumberFormat="1" applyAlignment="1" applyProtection="1">
      <alignment horizontal="right"/>
      <protection hidden="1"/>
    </xf>
    <xf numFmtId="0" fontId="0" fillId="0" borderId="0" xfId="0" applyAlignment="1" applyProtection="1">
      <alignment horizontal="right" vertical="top" wrapText="1"/>
      <protection locked="0" hidden="1"/>
    </xf>
    <xf numFmtId="3" fontId="3" fillId="0" borderId="0" xfId="0" applyNumberFormat="1" applyFont="1" applyAlignment="1" applyProtection="1">
      <alignment horizontal="right"/>
      <protection hidden="1"/>
    </xf>
    <xf numFmtId="3" fontId="3" fillId="0" borderId="1" xfId="0" applyNumberFormat="1" applyFont="1" applyBorder="1" applyAlignment="1" applyProtection="1">
      <alignment horizontal="center"/>
      <protection hidden="1"/>
    </xf>
    <xf numFmtId="0" fontId="18" fillId="0" borderId="0" xfId="0" applyFont="1" applyAlignment="1" applyProtection="1">
      <alignment horizontal="right"/>
      <protection hidden="1"/>
    </xf>
    <xf numFmtId="0" fontId="3" fillId="0" borderId="5" xfId="0" applyFont="1" applyBorder="1" applyAlignment="1" applyProtection="1">
      <alignment horizontal="center"/>
      <protection hidden="1"/>
    </xf>
    <xf numFmtId="0" fontId="3" fillId="0" borderId="8" xfId="0" applyFont="1" applyBorder="1" applyAlignment="1" applyProtection="1">
      <alignment horizontal="center"/>
      <protection hidden="1"/>
    </xf>
    <xf numFmtId="0" fontId="3" fillId="0" borderId="6" xfId="0" applyFont="1" applyBorder="1" applyAlignment="1" applyProtection="1">
      <alignment horizontal="center"/>
      <protection hidden="1"/>
    </xf>
    <xf numFmtId="3" fontId="3" fillId="0" borderId="5" xfId="0" applyNumberFormat="1" applyFont="1" applyBorder="1" applyAlignment="1" applyProtection="1">
      <alignment horizontal="center"/>
      <protection hidden="1"/>
    </xf>
    <xf numFmtId="3" fontId="3" fillId="0" borderId="6" xfId="0" applyNumberFormat="1" applyFont="1" applyBorder="1" applyAlignment="1" applyProtection="1">
      <alignment horizontal="center"/>
      <protection hidden="1"/>
    </xf>
    <xf numFmtId="1" fontId="3" fillId="0" borderId="5" xfId="0" applyNumberFormat="1" applyFont="1" applyBorder="1" applyAlignment="1" applyProtection="1">
      <alignment horizontal="center"/>
      <protection hidden="1"/>
    </xf>
    <xf numFmtId="1" fontId="3" fillId="0" borderId="6" xfId="0" applyNumberFormat="1" applyFont="1" applyBorder="1" applyAlignment="1" applyProtection="1">
      <alignment horizontal="center"/>
      <protection hidden="1"/>
    </xf>
    <xf numFmtId="0" fontId="3" fillId="0" borderId="0" xfId="0" applyFont="1" applyAlignment="1" applyProtection="1">
      <alignment vertical="top"/>
      <protection locked="0" hidden="1"/>
    </xf>
    <xf numFmtId="3" fontId="3" fillId="0" borderId="0" xfId="0" applyNumberFormat="1" applyFont="1" applyProtection="1">
      <protection hidden="1"/>
    </xf>
    <xf numFmtId="0" fontId="0" fillId="5" borderId="1" xfId="0" applyFill="1" applyBorder="1" applyAlignment="1" applyProtection="1">
      <alignment horizontal="left" vertical="top" wrapText="1"/>
      <protection locked="0"/>
    </xf>
    <xf numFmtId="1" fontId="0" fillId="0" borderId="0" xfId="0" applyNumberFormat="1"/>
    <xf numFmtId="0" fontId="19" fillId="0" borderId="0" xfId="0" applyFont="1" applyAlignment="1">
      <alignment horizontal="center" vertical="center"/>
    </xf>
    <xf numFmtId="0" fontId="20" fillId="0" borderId="2" xfId="0" applyFont="1" applyBorder="1" applyAlignment="1" applyProtection="1">
      <alignment horizontal="center"/>
      <protection hidden="1"/>
    </xf>
    <xf numFmtId="0" fontId="0" fillId="0" borderId="0" xfId="0" applyAlignment="1" applyProtection="1">
      <alignment horizontal="center"/>
      <protection hidden="1"/>
    </xf>
    <xf numFmtId="0" fontId="21" fillId="0" borderId="0" xfId="0" applyFont="1" applyProtection="1">
      <protection hidden="1"/>
    </xf>
    <xf numFmtId="3" fontId="0" fillId="0" borderId="1" xfId="0" applyNumberFormat="1" applyBorder="1" applyAlignment="1" applyProtection="1">
      <alignment horizontal="center"/>
      <protection hidden="1"/>
    </xf>
    <xf numFmtId="1" fontId="0" fillId="0" borderId="5" xfId="0" applyNumberFormat="1" applyBorder="1" applyAlignment="1" applyProtection="1">
      <alignment horizontal="center"/>
      <protection hidden="1"/>
    </xf>
    <xf numFmtId="165" fontId="0" fillId="0" borderId="5" xfId="0" applyNumberFormat="1" applyBorder="1" applyAlignment="1" applyProtection="1">
      <alignment horizontal="center"/>
      <protection hidden="1"/>
    </xf>
    <xf numFmtId="165" fontId="0" fillId="0" borderId="6" xfId="0" applyNumberFormat="1" applyBorder="1" applyAlignment="1" applyProtection="1">
      <alignment horizontal="center"/>
      <protection hidden="1"/>
    </xf>
    <xf numFmtId="164" fontId="0" fillId="0" borderId="5" xfId="0" applyNumberFormat="1" applyBorder="1" applyAlignment="1" applyProtection="1">
      <alignment horizontal="center"/>
      <protection hidden="1"/>
    </xf>
    <xf numFmtId="1" fontId="0" fillId="0" borderId="0" xfId="0" applyNumberFormat="1" applyAlignment="1" applyProtection="1">
      <alignment horizontal="center"/>
      <protection hidden="1"/>
    </xf>
    <xf numFmtId="164" fontId="0" fillId="0" borderId="0" xfId="0" applyNumberFormat="1" applyAlignment="1" applyProtection="1">
      <alignment horizontal="center"/>
      <protection hidden="1"/>
    </xf>
    <xf numFmtId="1" fontId="3" fillId="0" borderId="0" xfId="0" applyNumberFormat="1" applyFont="1" applyAlignment="1" applyProtection="1">
      <alignment horizontal="right"/>
      <protection hidden="1"/>
    </xf>
    <xf numFmtId="0" fontId="3" fillId="0" borderId="0" xfId="0" applyFont="1" applyAlignment="1" applyProtection="1">
      <alignment horizontal="right"/>
      <protection hidden="1"/>
    </xf>
    <xf numFmtId="14" fontId="0" fillId="0" borderId="0" xfId="0" applyNumberFormat="1" applyProtection="1">
      <protection hidden="1"/>
    </xf>
    <xf numFmtId="0" fontId="0" fillId="0" borderId="0" xfId="0" applyAlignment="1" applyProtection="1">
      <alignment horizontal="left"/>
      <protection hidden="1"/>
    </xf>
    <xf numFmtId="0" fontId="22" fillId="0" borderId="0" xfId="0" applyFont="1"/>
    <xf numFmtId="0" fontId="11" fillId="0" borderId="0" xfId="0" applyFont="1" applyProtection="1">
      <protection hidden="1"/>
    </xf>
    <xf numFmtId="0" fontId="23" fillId="0" borderId="9" xfId="0" applyFont="1" applyBorder="1" applyAlignment="1" applyProtection="1">
      <alignment horizontal="center" vertical="center"/>
      <protection hidden="1"/>
    </xf>
    <xf numFmtId="0" fontId="23" fillId="0" borderId="10" xfId="0" applyFont="1" applyBorder="1" applyAlignment="1" applyProtection="1">
      <alignment horizontal="center" vertical="center"/>
      <protection hidden="1"/>
    </xf>
    <xf numFmtId="0" fontId="23" fillId="0" borderId="11" xfId="0" applyFont="1" applyBorder="1" applyAlignment="1" applyProtection="1">
      <alignment horizontal="center" vertical="center"/>
      <protection hidden="1"/>
    </xf>
    <xf numFmtId="0" fontId="23" fillId="0" borderId="19" xfId="0" applyFont="1" applyBorder="1" applyAlignment="1" applyProtection="1">
      <alignment horizontal="center" vertical="center"/>
      <protection hidden="1"/>
    </xf>
    <xf numFmtId="0" fontId="23" fillId="0" borderId="0" xfId="0" applyFont="1" applyAlignment="1" applyProtection="1">
      <alignment horizontal="center" vertical="center"/>
      <protection hidden="1"/>
    </xf>
    <xf numFmtId="0" fontId="23" fillId="0" borderId="20" xfId="0" applyFont="1" applyBorder="1" applyAlignment="1" applyProtection="1">
      <alignment horizontal="center" vertical="center"/>
      <protection hidden="1"/>
    </xf>
    <xf numFmtId="0" fontId="23" fillId="0" borderId="12" xfId="0" applyFont="1" applyBorder="1" applyAlignment="1" applyProtection="1">
      <alignment horizontal="center" vertical="center"/>
      <protection hidden="1"/>
    </xf>
    <xf numFmtId="0" fontId="23" fillId="0" borderId="13" xfId="0" applyFont="1" applyBorder="1" applyAlignment="1" applyProtection="1">
      <alignment horizontal="center" vertical="center"/>
      <protection hidden="1"/>
    </xf>
    <xf numFmtId="0" fontId="23" fillId="0" borderId="14" xfId="0" applyFont="1" applyBorder="1" applyAlignment="1" applyProtection="1">
      <alignment horizontal="center" vertical="center"/>
      <protection hidden="1"/>
    </xf>
    <xf numFmtId="0" fontId="24" fillId="0" borderId="0" xfId="0" applyFont="1" applyAlignment="1" applyProtection="1">
      <alignment horizontal="center" vertical="center"/>
      <protection hidden="1"/>
    </xf>
    <xf numFmtId="0" fontId="11" fillId="0" borderId="0" xfId="0" applyFont="1" applyAlignment="1" applyProtection="1">
      <alignment horizontal="left" vertical="top"/>
      <protection hidden="1"/>
    </xf>
    <xf numFmtId="0" fontId="24" fillId="0" borderId="21" xfId="0" applyFont="1" applyBorder="1" applyAlignment="1" applyProtection="1">
      <alignment horizontal="center" vertical="top" wrapText="1"/>
      <protection hidden="1"/>
    </xf>
    <xf numFmtId="0" fontId="24" fillId="0" borderId="22" xfId="0" applyFont="1" applyBorder="1" applyAlignment="1" applyProtection="1">
      <alignment horizontal="center" vertical="top" wrapText="1"/>
      <protection hidden="1"/>
    </xf>
    <xf numFmtId="0" fontId="24" fillId="0" borderId="23" xfId="0" applyFont="1" applyBorder="1" applyAlignment="1" applyProtection="1">
      <alignment horizontal="center" vertical="top" wrapText="1"/>
      <protection hidden="1"/>
    </xf>
    <xf numFmtId="0" fontId="11" fillId="0" borderId="0" xfId="0" applyFont="1" applyAlignment="1" applyProtection="1">
      <alignment wrapText="1"/>
      <protection hidden="1"/>
    </xf>
    <xf numFmtId="0" fontId="24" fillId="0" borderId="9" xfId="0" applyFont="1" applyBorder="1" applyAlignment="1" applyProtection="1">
      <alignment horizontal="center" vertical="center" wrapText="1"/>
      <protection hidden="1"/>
    </xf>
    <xf numFmtId="0" fontId="24" fillId="0" borderId="24" xfId="0" applyFont="1" applyBorder="1" applyAlignment="1" applyProtection="1">
      <alignment horizontal="center" vertical="center" wrapText="1"/>
      <protection hidden="1"/>
    </xf>
    <xf numFmtId="0" fontId="11" fillId="0" borderId="25" xfId="0" applyFont="1" applyBorder="1" applyAlignment="1" applyProtection="1">
      <alignment horizontal="center" vertical="center" wrapText="1"/>
      <protection hidden="1"/>
    </xf>
    <xf numFmtId="0" fontId="11" fillId="0" borderId="10" xfId="0" applyFont="1" applyBorder="1" applyAlignment="1" applyProtection="1">
      <alignment horizontal="center" vertical="center" wrapText="1"/>
      <protection hidden="1"/>
    </xf>
    <xf numFmtId="0" fontId="11" fillId="0" borderId="24" xfId="0" applyFont="1" applyBorder="1" applyAlignment="1" applyProtection="1">
      <alignment horizontal="center" vertical="center" wrapText="1"/>
      <protection hidden="1"/>
    </xf>
    <xf numFmtId="0" fontId="24" fillId="0" borderId="26" xfId="0" applyFont="1" applyBorder="1" applyAlignment="1" applyProtection="1">
      <alignment horizontal="center" vertical="top" wrapText="1"/>
      <protection hidden="1"/>
    </xf>
    <xf numFmtId="0" fontId="24" fillId="0" borderId="27" xfId="0" applyFont="1" applyBorder="1" applyAlignment="1" applyProtection="1">
      <alignment horizontal="center" vertical="top" wrapText="1"/>
      <protection hidden="1"/>
    </xf>
    <xf numFmtId="0" fontId="24" fillId="0" borderId="28" xfId="0" applyFont="1" applyBorder="1" applyAlignment="1" applyProtection="1">
      <alignment horizontal="center" vertical="top" wrapText="1"/>
      <protection hidden="1"/>
    </xf>
    <xf numFmtId="0" fontId="24" fillId="0" borderId="29" xfId="0" applyFont="1" applyBorder="1" applyAlignment="1" applyProtection="1">
      <alignment horizontal="center" vertical="top" wrapText="1"/>
      <protection hidden="1"/>
    </xf>
    <xf numFmtId="0" fontId="24" fillId="0" borderId="30" xfId="0" applyFont="1" applyBorder="1" applyAlignment="1" applyProtection="1">
      <alignment horizontal="center" vertical="top" wrapText="1"/>
      <protection hidden="1"/>
    </xf>
    <xf numFmtId="0" fontId="24" fillId="0" borderId="31" xfId="0" applyFont="1" applyBorder="1" applyAlignment="1" applyProtection="1">
      <alignment horizontal="center" vertical="top" wrapText="1"/>
      <protection hidden="1"/>
    </xf>
    <xf numFmtId="0" fontId="24" fillId="0" borderId="32" xfId="0" applyFont="1" applyBorder="1" applyAlignment="1" applyProtection="1">
      <alignment horizontal="center" vertical="top" wrapText="1"/>
      <protection hidden="1"/>
    </xf>
    <xf numFmtId="0" fontId="24" fillId="0" borderId="33" xfId="0" applyFont="1" applyBorder="1" applyAlignment="1" applyProtection="1">
      <alignment horizontal="center" vertical="top" wrapText="1"/>
      <protection hidden="1"/>
    </xf>
    <xf numFmtId="0" fontId="24" fillId="0" borderId="34" xfId="0" applyFont="1" applyBorder="1" applyAlignment="1" applyProtection="1">
      <alignment horizontal="center" vertical="top" wrapText="1"/>
      <protection hidden="1"/>
    </xf>
    <xf numFmtId="0" fontId="24" fillId="0" borderId="35" xfId="0" applyFont="1" applyBorder="1" applyAlignment="1" applyProtection="1">
      <alignment horizontal="center" vertical="center" wrapText="1"/>
      <protection hidden="1"/>
    </xf>
    <xf numFmtId="0" fontId="24" fillId="0" borderId="36" xfId="0" applyFont="1" applyBorder="1" applyAlignment="1" applyProtection="1">
      <alignment horizontal="center" vertical="center" wrapText="1"/>
      <protection hidden="1"/>
    </xf>
    <xf numFmtId="0" fontId="11" fillId="0" borderId="37" xfId="0" applyFont="1" applyBorder="1" applyAlignment="1" applyProtection="1">
      <alignment horizontal="center" vertical="center" wrapText="1"/>
      <protection hidden="1"/>
    </xf>
    <xf numFmtId="0" fontId="11" fillId="0" borderId="38" xfId="0" applyFont="1" applyBorder="1" applyAlignment="1" applyProtection="1">
      <alignment horizontal="center" vertical="center" wrapText="1"/>
      <protection hidden="1"/>
    </xf>
    <xf numFmtId="0" fontId="11" fillId="0" borderId="36" xfId="0" applyFont="1" applyBorder="1" applyAlignment="1" applyProtection="1">
      <alignment horizontal="center" vertical="center" wrapText="1"/>
      <protection hidden="1"/>
    </xf>
    <xf numFmtId="0" fontId="11" fillId="0" borderId="30" xfId="0" applyFont="1" applyBorder="1" applyAlignment="1" applyProtection="1">
      <alignment horizontal="center" vertical="top" wrapText="1"/>
      <protection hidden="1"/>
    </xf>
    <xf numFmtId="0" fontId="11" fillId="0" borderId="31" xfId="0" applyFont="1" applyBorder="1" applyAlignment="1" applyProtection="1">
      <alignment horizontal="center" vertical="top" wrapText="1"/>
      <protection hidden="1"/>
    </xf>
    <xf numFmtId="0" fontId="11" fillId="0" borderId="29" xfId="0" applyFont="1" applyBorder="1" applyAlignment="1" applyProtection="1">
      <alignment horizontal="center" vertical="top" wrapText="1"/>
      <protection hidden="1"/>
    </xf>
    <xf numFmtId="0" fontId="24" fillId="0" borderId="39" xfId="0" applyFont="1" applyBorder="1" applyAlignment="1" applyProtection="1">
      <alignment horizontal="center" vertical="top" wrapText="1"/>
      <protection hidden="1"/>
    </xf>
    <xf numFmtId="0" fontId="24" fillId="0" borderId="40" xfId="0" applyFont="1" applyBorder="1" applyAlignment="1" applyProtection="1">
      <alignment horizontal="center" vertical="top" wrapText="1"/>
      <protection hidden="1"/>
    </xf>
    <xf numFmtId="0" fontId="24" fillId="0" borderId="35" xfId="0" applyFont="1" applyBorder="1" applyAlignment="1" applyProtection="1">
      <alignment horizontal="center" vertical="top" wrapText="1"/>
      <protection hidden="1"/>
    </xf>
    <xf numFmtId="0" fontId="24" fillId="0" borderId="36" xfId="0" applyFont="1" applyBorder="1" applyAlignment="1" applyProtection="1">
      <alignment horizontal="center" vertical="top" wrapText="1"/>
      <protection hidden="1"/>
    </xf>
    <xf numFmtId="0" fontId="24" fillId="0" borderId="37" xfId="0" applyFont="1" applyBorder="1" applyAlignment="1" applyProtection="1">
      <alignment horizontal="center" vertical="top" wrapText="1"/>
      <protection hidden="1"/>
    </xf>
    <xf numFmtId="0" fontId="24" fillId="0" borderId="38" xfId="0" applyFont="1" applyBorder="1" applyAlignment="1" applyProtection="1">
      <alignment horizontal="center" vertical="top" wrapText="1"/>
      <protection hidden="1"/>
    </xf>
    <xf numFmtId="0" fontId="24" fillId="0" borderId="41" xfId="0" applyFont="1" applyBorder="1" applyAlignment="1" applyProtection="1">
      <alignment horizontal="center" vertical="top" wrapText="1"/>
      <protection hidden="1"/>
    </xf>
    <xf numFmtId="0" fontId="11" fillId="0" borderId="0" xfId="0" applyFont="1" applyAlignment="1" applyProtection="1">
      <alignment vertical="center" wrapText="1"/>
      <protection hidden="1"/>
    </xf>
    <xf numFmtId="0" fontId="24" fillId="0" borderId="42" xfId="0" applyFont="1" applyBorder="1" applyAlignment="1" applyProtection="1">
      <alignment horizontal="center" vertical="center" wrapText="1"/>
      <protection hidden="1"/>
    </xf>
    <xf numFmtId="0" fontId="24" fillId="0" borderId="41" xfId="0" applyFont="1" applyBorder="1" applyAlignment="1" applyProtection="1">
      <alignment horizontal="center" vertical="center" wrapText="1"/>
      <protection hidden="1"/>
    </xf>
    <xf numFmtId="0" fontId="24" fillId="0" borderId="1" xfId="0" applyFont="1" applyBorder="1" applyAlignment="1" applyProtection="1">
      <alignment horizontal="center" vertical="top" wrapText="1"/>
      <protection hidden="1"/>
    </xf>
    <xf numFmtId="9" fontId="11" fillId="0" borderId="1" xfId="0" applyNumberFormat="1" applyFont="1" applyBorder="1" applyAlignment="1" applyProtection="1">
      <alignment horizontal="center" vertical="top"/>
      <protection hidden="1"/>
    </xf>
    <xf numFmtId="0" fontId="11" fillId="0" borderId="1" xfId="0" applyFont="1" applyBorder="1" applyAlignment="1" applyProtection="1">
      <alignment horizontal="center" vertical="top" wrapText="1"/>
      <protection hidden="1"/>
    </xf>
    <xf numFmtId="9" fontId="11" fillId="0" borderId="43" xfId="0" applyNumberFormat="1" applyFont="1" applyBorder="1" applyAlignment="1" applyProtection="1">
      <alignment horizontal="center" vertical="top"/>
      <protection hidden="1"/>
    </xf>
    <xf numFmtId="0" fontId="24" fillId="0" borderId="42" xfId="0" applyFont="1" applyBorder="1" applyAlignment="1" applyProtection="1">
      <alignment horizontal="center" vertical="top" wrapText="1"/>
      <protection hidden="1"/>
    </xf>
    <xf numFmtId="9" fontId="24" fillId="0" borderId="32" xfId="0" applyNumberFormat="1" applyFont="1" applyBorder="1" applyAlignment="1" applyProtection="1">
      <alignment horizontal="center" vertical="top" shrinkToFit="1"/>
      <protection hidden="1"/>
    </xf>
    <xf numFmtId="9" fontId="24" fillId="0" borderId="34" xfId="0" applyNumberFormat="1" applyFont="1" applyBorder="1" applyAlignment="1" applyProtection="1">
      <alignment horizontal="center" vertical="top" shrinkToFit="1"/>
      <protection hidden="1"/>
    </xf>
    <xf numFmtId="1" fontId="24" fillId="0" borderId="32" xfId="0" applyNumberFormat="1" applyFont="1" applyBorder="1" applyAlignment="1" applyProtection="1">
      <alignment horizontal="center" vertical="top" shrinkToFit="1"/>
      <protection hidden="1"/>
    </xf>
    <xf numFmtId="1" fontId="24" fillId="0" borderId="33" xfId="0" applyNumberFormat="1" applyFont="1" applyBorder="1" applyAlignment="1" applyProtection="1">
      <alignment horizontal="center" vertical="top" shrinkToFit="1"/>
      <protection hidden="1"/>
    </xf>
    <xf numFmtId="1" fontId="24" fillId="0" borderId="1" xfId="0" applyNumberFormat="1" applyFont="1" applyBorder="1" applyAlignment="1" applyProtection="1">
      <alignment horizontal="center" vertical="top" shrinkToFit="1"/>
      <protection hidden="1"/>
    </xf>
    <xf numFmtId="1" fontId="24" fillId="0" borderId="41" xfId="0" applyNumberFormat="1" applyFont="1" applyBorder="1" applyAlignment="1" applyProtection="1">
      <alignment horizontal="center" vertical="top" shrinkToFit="1"/>
      <protection hidden="1"/>
    </xf>
    <xf numFmtId="1" fontId="24" fillId="0" borderId="1" xfId="0" applyNumberFormat="1" applyFont="1" applyBorder="1" applyAlignment="1" applyProtection="1">
      <alignment horizontal="center" vertical="center" shrinkToFit="1"/>
      <protection hidden="1"/>
    </xf>
    <xf numFmtId="0" fontId="24" fillId="0" borderId="44" xfId="0" applyFont="1" applyBorder="1" applyAlignment="1" applyProtection="1">
      <alignment horizontal="center" vertical="top" wrapText="1"/>
      <protection hidden="1"/>
    </xf>
    <xf numFmtId="0" fontId="24" fillId="0" borderId="45" xfId="0" applyFont="1" applyBorder="1" applyAlignment="1" applyProtection="1">
      <alignment horizontal="center" vertical="top" wrapText="1"/>
      <protection hidden="1"/>
    </xf>
    <xf numFmtId="0" fontId="24" fillId="0" borderId="46" xfId="0" applyFont="1" applyBorder="1" applyAlignment="1" applyProtection="1">
      <alignment horizontal="center" vertical="top" wrapText="1"/>
      <protection hidden="1"/>
    </xf>
    <xf numFmtId="0" fontId="24" fillId="0" borderId="47" xfId="0" applyFont="1" applyBorder="1" applyAlignment="1" applyProtection="1">
      <alignment horizontal="center" vertical="top" wrapText="1"/>
      <protection hidden="1"/>
    </xf>
    <xf numFmtId="1" fontId="24" fillId="0" borderId="48" xfId="0" applyNumberFormat="1" applyFont="1" applyBorder="1" applyAlignment="1" applyProtection="1">
      <alignment horizontal="center" vertical="top" shrinkToFit="1"/>
      <protection hidden="1"/>
    </xf>
    <xf numFmtId="9" fontId="11" fillId="0" borderId="48" xfId="0" applyNumberFormat="1" applyFont="1" applyBorder="1" applyAlignment="1" applyProtection="1">
      <alignment horizontal="center" vertical="top"/>
      <protection hidden="1"/>
    </xf>
    <xf numFmtId="9" fontId="11" fillId="0" borderId="49" xfId="0" applyNumberFormat="1" applyFont="1" applyBorder="1" applyAlignment="1" applyProtection="1">
      <alignment horizontal="center" vertical="top"/>
      <protection hidden="1"/>
    </xf>
    <xf numFmtId="1" fontId="24" fillId="0" borderId="46" xfId="0" applyNumberFormat="1" applyFont="1" applyBorder="1" applyAlignment="1" applyProtection="1">
      <alignment horizontal="center" vertical="top" shrinkToFit="1"/>
      <protection hidden="1"/>
    </xf>
    <xf numFmtId="1" fontId="24" fillId="0" borderId="47" xfId="0" applyNumberFormat="1" applyFont="1" applyBorder="1" applyAlignment="1" applyProtection="1">
      <alignment horizontal="center" vertical="top" shrinkToFit="1"/>
      <protection hidden="1"/>
    </xf>
    <xf numFmtId="1" fontId="24" fillId="0" borderId="45" xfId="0" applyNumberFormat="1" applyFont="1" applyBorder="1" applyAlignment="1" applyProtection="1">
      <alignment horizontal="center" vertical="top" shrinkToFit="1"/>
      <protection hidden="1"/>
    </xf>
    <xf numFmtId="9" fontId="24" fillId="0" borderId="46" xfId="0" applyNumberFormat="1" applyFont="1" applyBorder="1" applyAlignment="1" applyProtection="1">
      <alignment horizontal="center" vertical="top" shrinkToFit="1"/>
      <protection hidden="1"/>
    </xf>
    <xf numFmtId="9" fontId="24" fillId="0" borderId="50" xfId="0" applyNumberFormat="1" applyFont="1" applyBorder="1" applyAlignment="1" applyProtection="1">
      <alignment horizontal="center" vertical="top" shrinkToFit="1"/>
      <protection hidden="1"/>
    </xf>
    <xf numFmtId="0" fontId="25" fillId="0" borderId="0" xfId="0" applyFont="1" applyAlignment="1" applyProtection="1">
      <alignment horizontal="left" vertical="top"/>
      <protection hidden="1"/>
    </xf>
    <xf numFmtId="49" fontId="11" fillId="0" borderId="0" xfId="0" applyNumberFormat="1" applyFont="1" applyAlignment="1" applyProtection="1">
      <alignment horizontal="center"/>
      <protection hidden="1"/>
    </xf>
    <xf numFmtId="9" fontId="11" fillId="0" borderId="0" xfId="0" applyNumberFormat="1" applyFont="1" applyAlignment="1" applyProtection="1">
      <alignment horizontal="center"/>
      <protection hidden="1"/>
    </xf>
    <xf numFmtId="3" fontId="11" fillId="0" borderId="0" xfId="0" applyNumberFormat="1" applyFont="1" applyAlignment="1" applyProtection="1">
      <alignment horizontal="center"/>
      <protection hidden="1"/>
    </xf>
    <xf numFmtId="0" fontId="24" fillId="0" borderId="51" xfId="0" applyFont="1" applyBorder="1" applyAlignment="1" applyProtection="1">
      <alignment horizontal="center" vertical="center" wrapText="1"/>
      <protection hidden="1"/>
    </xf>
    <xf numFmtId="1" fontId="24" fillId="0" borderId="52" xfId="0" applyNumberFormat="1" applyFont="1" applyBorder="1" applyAlignment="1" applyProtection="1">
      <alignment horizontal="center" vertical="center" wrapText="1"/>
      <protection hidden="1"/>
    </xf>
    <xf numFmtId="1" fontId="24" fillId="0" borderId="53" xfId="0" applyNumberFormat="1" applyFont="1" applyBorder="1" applyAlignment="1" applyProtection="1">
      <alignment horizontal="center" vertical="center" wrapText="1"/>
      <protection hidden="1"/>
    </xf>
    <xf numFmtId="1" fontId="24" fillId="0" borderId="51" xfId="0" applyNumberFormat="1" applyFont="1" applyBorder="1" applyAlignment="1" applyProtection="1">
      <alignment horizontal="center" vertical="center" wrapText="1"/>
      <protection hidden="1"/>
    </xf>
    <xf numFmtId="1" fontId="24" fillId="0" borderId="54" xfId="0" applyNumberFormat="1" applyFont="1" applyBorder="1" applyAlignment="1" applyProtection="1">
      <alignment horizontal="center" vertical="center" wrapText="1"/>
      <protection hidden="1"/>
    </xf>
    <xf numFmtId="0" fontId="24" fillId="0" borderId="55" xfId="0" applyFont="1" applyBorder="1" applyAlignment="1" applyProtection="1">
      <alignment horizontal="center" vertical="center" wrapText="1"/>
      <protection hidden="1"/>
    </xf>
    <xf numFmtId="0" fontId="24" fillId="0" borderId="18" xfId="0" applyFont="1" applyBorder="1" applyAlignment="1" applyProtection="1">
      <alignment horizontal="center" vertical="center" wrapText="1"/>
      <protection hidden="1"/>
    </xf>
    <xf numFmtId="1" fontId="24" fillId="0" borderId="4" xfId="0" applyNumberFormat="1" applyFont="1" applyBorder="1" applyAlignment="1" applyProtection="1">
      <alignment horizontal="center" vertical="center" wrapText="1"/>
      <protection hidden="1"/>
    </xf>
    <xf numFmtId="1" fontId="24" fillId="0" borderId="17" xfId="0" applyNumberFormat="1" applyFont="1" applyBorder="1" applyAlignment="1" applyProtection="1">
      <alignment horizontal="center" vertical="center" wrapText="1"/>
      <protection hidden="1"/>
    </xf>
    <xf numFmtId="1" fontId="24" fillId="0" borderId="18" xfId="0" applyNumberFormat="1" applyFont="1" applyBorder="1" applyAlignment="1" applyProtection="1">
      <alignment horizontal="center" vertical="center" wrapText="1"/>
      <protection hidden="1"/>
    </xf>
    <xf numFmtId="1" fontId="24" fillId="0" borderId="56" xfId="0" applyNumberFormat="1" applyFont="1" applyBorder="1" applyAlignment="1" applyProtection="1">
      <alignment horizontal="center" vertical="center" wrapText="1"/>
      <protection hidden="1"/>
    </xf>
    <xf numFmtId="0" fontId="24" fillId="0" borderId="57" xfId="0" applyFont="1" applyBorder="1" applyAlignment="1" applyProtection="1">
      <alignment horizontal="center"/>
      <protection hidden="1"/>
    </xf>
    <xf numFmtId="0" fontId="24" fillId="0" borderId="6" xfId="0" applyFont="1" applyBorder="1" applyAlignment="1" applyProtection="1">
      <alignment horizontal="center"/>
      <protection hidden="1"/>
    </xf>
    <xf numFmtId="3" fontId="11" fillId="0" borderId="1" xfId="0" applyNumberFormat="1" applyFont="1" applyBorder="1" applyAlignment="1" applyProtection="1">
      <alignment horizontal="right"/>
      <protection hidden="1"/>
    </xf>
    <xf numFmtId="3" fontId="11" fillId="0" borderId="5" xfId="0" applyNumberFormat="1" applyFont="1" applyBorder="1" applyAlignment="1" applyProtection="1">
      <alignment horizontal="right"/>
      <protection hidden="1"/>
    </xf>
    <xf numFmtId="3" fontId="11" fillId="0" borderId="6" xfId="0" applyNumberFormat="1" applyFont="1" applyBorder="1" applyAlignment="1" applyProtection="1">
      <alignment horizontal="right"/>
      <protection hidden="1"/>
    </xf>
    <xf numFmtId="3" fontId="11" fillId="0" borderId="43" xfId="0" applyNumberFormat="1" applyFont="1" applyBorder="1" applyAlignment="1" applyProtection="1">
      <alignment horizontal="right"/>
      <protection hidden="1"/>
    </xf>
    <xf numFmtId="0" fontId="24" fillId="0" borderId="57" xfId="0" applyFont="1" applyBorder="1" applyAlignment="1" applyProtection="1">
      <alignment horizontal="center" wrapText="1"/>
      <protection hidden="1"/>
    </xf>
    <xf numFmtId="0" fontId="24" fillId="0" borderId="6" xfId="0" applyFont="1" applyBorder="1" applyAlignment="1" applyProtection="1">
      <alignment horizontal="center" wrapText="1"/>
      <protection hidden="1"/>
    </xf>
    <xf numFmtId="0" fontId="24" fillId="0" borderId="58" xfId="0" applyFont="1" applyBorder="1" applyAlignment="1" applyProtection="1">
      <alignment horizontal="center" wrapText="1"/>
      <protection hidden="1"/>
    </xf>
    <xf numFmtId="0" fontId="24" fillId="0" borderId="59" xfId="0" applyFont="1" applyBorder="1" applyAlignment="1" applyProtection="1">
      <alignment horizontal="center" wrapText="1"/>
      <protection hidden="1"/>
    </xf>
    <xf numFmtId="3" fontId="24" fillId="0" borderId="48" xfId="0" applyNumberFormat="1" applyFont="1" applyBorder="1" applyAlignment="1" applyProtection="1">
      <alignment horizontal="right"/>
      <protection hidden="1"/>
    </xf>
    <xf numFmtId="3" fontId="24" fillId="0" borderId="60" xfId="0" applyNumberFormat="1" applyFont="1" applyBorder="1" applyAlignment="1" applyProtection="1">
      <alignment horizontal="right"/>
      <protection hidden="1"/>
    </xf>
    <xf numFmtId="3" fontId="24" fillId="0" borderId="59" xfId="0" applyNumberFormat="1" applyFont="1" applyBorder="1" applyAlignment="1" applyProtection="1">
      <alignment horizontal="right"/>
      <protection hidden="1"/>
    </xf>
    <xf numFmtId="3" fontId="24" fillId="0" borderId="49" xfId="0" applyNumberFormat="1" applyFont="1" applyBorder="1" applyAlignment="1" applyProtection="1">
      <alignment horizontal="right"/>
      <protection hidden="1"/>
    </xf>
    <xf numFmtId="0" fontId="24" fillId="0" borderId="61" xfId="0" applyFont="1" applyBorder="1" applyAlignment="1" applyProtection="1">
      <alignment horizontal="center" vertical="center" wrapText="1"/>
      <protection hidden="1"/>
    </xf>
    <xf numFmtId="0" fontId="24" fillId="0" borderId="62" xfId="0" applyFont="1" applyBorder="1" applyAlignment="1" applyProtection="1">
      <alignment horizontal="center" vertical="center" wrapText="1"/>
      <protection hidden="1"/>
    </xf>
    <xf numFmtId="165" fontId="24" fillId="0" borderId="62" xfId="0" applyNumberFormat="1" applyFont="1" applyBorder="1" applyAlignment="1" applyProtection="1">
      <alignment horizontal="center" vertical="center" wrapText="1"/>
      <protection hidden="1"/>
    </xf>
    <xf numFmtId="0" fontId="24" fillId="0" borderId="63" xfId="0" applyFont="1" applyBorder="1" applyAlignment="1" applyProtection="1">
      <alignment horizontal="center" vertical="center" wrapText="1"/>
      <protection hidden="1"/>
    </xf>
    <xf numFmtId="0" fontId="24" fillId="0" borderId="64" xfId="0" applyFont="1" applyBorder="1" applyAlignment="1" applyProtection="1">
      <alignment horizontal="center" vertical="center" wrapText="1"/>
      <protection hidden="1"/>
    </xf>
    <xf numFmtId="164" fontId="24" fillId="0" borderId="62" xfId="0" applyNumberFormat="1" applyFont="1" applyBorder="1" applyAlignment="1" applyProtection="1">
      <alignment horizontal="center" vertical="center" wrapText="1"/>
      <protection hidden="1"/>
    </xf>
    <xf numFmtId="164" fontId="24" fillId="0" borderId="65" xfId="0" applyNumberFormat="1" applyFont="1" applyBorder="1" applyAlignment="1" applyProtection="1">
      <alignment horizontal="center" vertical="center" wrapText="1"/>
      <protection hidden="1"/>
    </xf>
    <xf numFmtId="165" fontId="24" fillId="0" borderId="58" xfId="0" applyNumberFormat="1" applyFont="1" applyBorder="1" applyAlignment="1" applyProtection="1">
      <alignment horizontal="right"/>
      <protection hidden="1"/>
    </xf>
    <xf numFmtId="165" fontId="24" fillId="0" borderId="59" xfId="0" applyNumberFormat="1" applyFont="1" applyBorder="1" applyAlignment="1" applyProtection="1">
      <alignment horizontal="right"/>
      <protection hidden="1"/>
    </xf>
    <xf numFmtId="165" fontId="11" fillId="0" borderId="48" xfId="0" applyNumberFormat="1" applyFont="1" applyBorder="1" applyAlignment="1" applyProtection="1">
      <alignment horizontal="right"/>
      <protection hidden="1"/>
    </xf>
    <xf numFmtId="165" fontId="11" fillId="0" borderId="60" xfId="0" applyNumberFormat="1" applyFont="1" applyBorder="1" applyAlignment="1" applyProtection="1">
      <alignment horizontal="right"/>
      <protection hidden="1"/>
    </xf>
    <xf numFmtId="165" fontId="11" fillId="0" borderId="59" xfId="0" applyNumberFormat="1" applyFont="1" applyBorder="1" applyAlignment="1" applyProtection="1">
      <alignment horizontal="right"/>
      <protection hidden="1"/>
    </xf>
    <xf numFmtId="165" fontId="11" fillId="0" borderId="49" xfId="0" applyNumberFormat="1" applyFont="1" applyBorder="1" applyAlignment="1" applyProtection="1">
      <alignment horizontal="right"/>
      <protection hidden="1"/>
    </xf>
    <xf numFmtId="0" fontId="25" fillId="0" borderId="0" xfId="0" applyFont="1" applyProtection="1">
      <protection hidden="1"/>
    </xf>
    <xf numFmtId="167" fontId="11" fillId="0" borderId="0" xfId="0" applyNumberFormat="1" applyFont="1" applyProtection="1">
      <protection hidden="1"/>
    </xf>
  </cellXfs>
  <cellStyles count="1">
    <cellStyle name="Normal" xfId="0" builtinId="0"/>
  </cellStyles>
  <dxfs count="1">
    <dxf>
      <font>
        <b/>
        <i/>
        <color theme="0"/>
        <strike/>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8.xml"/><Relationship Id="rId5" Type="http://schemas.openxmlformats.org/officeDocument/2006/relationships/worksheet" Target="worksheets/sheet3.xml"/><Relationship Id="rId6" Type="http://schemas.openxmlformats.org/officeDocument/2006/relationships/customXml" Target="../customXml/item1.xml"/><Relationship Id="rId7" Type="http://schemas.openxmlformats.org/officeDocument/2006/relationships/customXml" Target="../customXml/item2.xml"/><Relationship Id="rId8"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129540</xdr:colOff>
      <xdr:row>0</xdr:row>
      <xdr:rowOff>76200</xdr:rowOff>
    </xdr:from>
    <xdr:to>
      <xdr:col>2</xdr:col>
      <xdr:colOff>809377</xdr:colOff>
      <xdr:row>0</xdr:row>
      <xdr:rowOff>694871</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hyperlink" Target="https://ofm.wa.gov/sites/default/files/public/facilities/FinancialAssumptions/2022LeaseRatesPresentation.pdf" TargetMode="External"/><Relationship Id="rId2" Type="http://schemas.openxmlformats.org/officeDocument/2006/relationships/drawing" Target="../drawings/drawing1.xml"/></Relationships>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6"/>
  <sheetViews>
    <sheetView workbookViewId="0" showGridLines="0" zoomScale="100" zoomScaleNormal="100">
      <selection activeCell="C37" sqref="C37"/>
    </sheetView>
  </sheetViews>
  <sheetFormatPr defaultRowHeight="14.4" outlineLevelRow="0" outlineLevelCol="0" x14ac:dyDescent="0.3" defaultColWidth="8.77734375" customHeight="1"/>
  <cols>
    <col min="1" max="1" width="14.21875" style="171" customWidth="1"/>
    <col min="2" max="2" width="17.77734375" style="171" customWidth="1"/>
    <col min="3" max="3" width="16.77734375" style="171" customWidth="1"/>
    <col min="4" max="4" width="14.44140625" style="171" customWidth="1"/>
    <col min="5" max="5" width="8.21875" style="171" customWidth="1"/>
    <col min="6" max="6" width="15.21875" style="171" customWidth="1"/>
    <col min="7" max="8" width="8.77734375" style="171" customWidth="1"/>
    <col min="9" max="9" width="15.44140625" style="171" customWidth="1"/>
    <col min="10" max="10" width="12.21875" style="171" customWidth="1"/>
    <col min="11" max="11" width="13.21875" style="171" customWidth="1"/>
    <col min="12" max="12" width="8.77734375" style="171" customWidth="1"/>
    <col min="13" max="13" width="6.77734375" style="171" customWidth="1"/>
    <col min="14" max="14" width="8.77734375" style="171" customWidth="1"/>
    <col min="15" max="15" width="14.21875" style="171" customWidth="1"/>
    <col min="16" max="21" width="8.77734375" style="171" customWidth="1"/>
    <col min="22" max="22" width="6.44140625" style="171" customWidth="1"/>
    <col min="23" max="23" width="17.77734375" style="171" customWidth="1"/>
    <col min="24" max="24" width="8.77734375" style="171" customWidth="1"/>
    <col min="25" max="25" width="13.21875" style="171" customWidth="1"/>
    <col min="26" max="26" width="15.77734375" style="171" customWidth="1"/>
    <col min="27" max="16384" width="8.77734375" style="171" customWidth="1"/>
  </cols>
  <sheetData>
    <row r="1" spans="1:13" x14ac:dyDescent="0.25">
      <c r="A1" s="172" t="s">
        <v>130</v>
      </c>
      <c r="B1" s="173"/>
      <c r="C1" s="173"/>
      <c r="D1" s="173"/>
      <c r="E1" s="173"/>
      <c r="F1" s="173"/>
      <c r="G1" s="173"/>
      <c r="H1" s="173"/>
      <c r="I1" s="173"/>
      <c r="J1" s="173"/>
      <c r="K1" s="173"/>
      <c r="L1" s="173"/>
      <c r="M1" s="174"/>
    </row>
    <row r="2" spans="1:13" x14ac:dyDescent="0.25">
      <c r="A2" s="175"/>
      <c r="B2" s="176"/>
      <c r="C2" s="176"/>
      <c r="D2" s="176"/>
      <c r="E2" s="176"/>
      <c r="F2" s="176"/>
      <c r="G2" s="176"/>
      <c r="H2" s="176"/>
      <c r="I2" s="176"/>
      <c r="J2" s="176"/>
      <c r="K2" s="176"/>
      <c r="L2" s="176"/>
      <c r="M2" s="177"/>
    </row>
    <row r="3" ht="15" customHeight="1" spans="1:13" x14ac:dyDescent="0.25">
      <c r="A3" s="178"/>
      <c r="B3" s="179"/>
      <c r="C3" s="179"/>
      <c r="D3" s="179"/>
      <c r="E3" s="179"/>
      <c r="F3" s="179"/>
      <c r="G3" s="179"/>
      <c r="H3" s="179"/>
      <c r="I3" s="179"/>
      <c r="J3" s="179"/>
      <c r="K3" s="179"/>
      <c r="L3" s="179"/>
      <c r="M3" s="180"/>
    </row>
    <row r="4" spans="1:13" x14ac:dyDescent="0.25">
      <c r="A4" s="181"/>
      <c r="B4" s="181"/>
      <c r="C4" s="181"/>
      <c r="D4" s="181"/>
      <c r="E4" s="181"/>
      <c r="F4" s="181"/>
      <c r="G4" s="181"/>
      <c r="H4" s="181"/>
      <c r="I4" s="181"/>
      <c r="J4" s="181"/>
      <c r="K4" s="181"/>
      <c r="L4" s="181"/>
      <c r="M4" s="181"/>
    </row>
    <row r="5" ht="15" customHeight="1" spans="1:13" x14ac:dyDescent="0.25">
      <c r="A5" s="181"/>
      <c r="B5" s="181"/>
      <c r="C5" s="181"/>
      <c r="D5" s="181"/>
      <c r="E5" s="181"/>
      <c r="F5" s="181"/>
      <c r="G5" s="181"/>
      <c r="H5" s="181"/>
      <c r="I5" s="181"/>
      <c r="J5" s="181"/>
      <c r="K5" s="181"/>
      <c r="L5" s="181"/>
      <c r="M5" s="181"/>
    </row>
    <row r="6" ht="18" customHeight="1" spans="1:26" s="182" customFormat="1" x14ac:dyDescent="0.25">
      <c r="A6" s="183" t="s">
        <v>131</v>
      </c>
      <c r="B6" s="184"/>
      <c r="C6" s="184"/>
      <c r="D6" s="184"/>
      <c r="E6" s="184"/>
      <c r="F6" s="184"/>
      <c r="G6" s="184"/>
      <c r="H6" s="184"/>
      <c r="I6" s="184"/>
      <c r="J6" s="184"/>
      <c r="K6" s="184"/>
      <c r="L6" s="185"/>
      <c r="M6" s="186"/>
      <c r="N6" s="187" t="s">
        <v>132</v>
      </c>
      <c r="O6" s="188"/>
      <c r="P6" s="189" t="s">
        <v>133</v>
      </c>
      <c r="Q6" s="190"/>
      <c r="R6" s="190"/>
      <c r="S6" s="191"/>
      <c r="T6" s="192" t="s">
        <v>134</v>
      </c>
      <c r="U6" s="184"/>
      <c r="V6" s="184"/>
      <c r="W6" s="193"/>
      <c r="X6" s="192" t="s">
        <v>135</v>
      </c>
      <c r="Y6" s="184"/>
      <c r="Z6" s="185"/>
    </row>
    <row r="7" ht="38.25" customHeight="1" spans="1:26" s="182" customFormat="1" x14ac:dyDescent="0.25">
      <c r="A7" s="194" t="s">
        <v>132</v>
      </c>
      <c r="B7" s="195"/>
      <c r="C7" s="196" t="s">
        <v>136</v>
      </c>
      <c r="D7" s="197"/>
      <c r="E7" s="197"/>
      <c r="F7" s="197"/>
      <c r="G7" s="195"/>
      <c r="H7" s="198" t="s">
        <v>137</v>
      </c>
      <c r="I7" s="199"/>
      <c r="J7" s="199"/>
      <c r="K7" s="199"/>
      <c r="L7" s="200"/>
      <c r="M7" s="186"/>
      <c r="N7" s="201"/>
      <c r="O7" s="202"/>
      <c r="P7" s="203"/>
      <c r="Q7" s="204"/>
      <c r="R7" s="204"/>
      <c r="S7" s="205"/>
      <c r="T7" s="206" t="s">
        <v>138</v>
      </c>
      <c r="U7" s="207"/>
      <c r="V7" s="208"/>
      <c r="W7" s="209" t="s">
        <v>139</v>
      </c>
      <c r="X7" s="196" t="s">
        <v>140</v>
      </c>
      <c r="Y7" s="195"/>
      <c r="Z7" s="210" t="s">
        <v>139</v>
      </c>
    </row>
    <row r="8" ht="32.25" customHeight="1" spans="1:26" s="182" customFormat="1" x14ac:dyDescent="0.25">
      <c r="A8" s="211"/>
      <c r="B8" s="212"/>
      <c r="C8" s="213"/>
      <c r="D8" s="214"/>
      <c r="E8" s="214"/>
      <c r="F8" s="214"/>
      <c r="G8" s="212"/>
      <c r="H8" s="198" t="s">
        <v>140</v>
      </c>
      <c r="I8" s="199"/>
      <c r="J8" s="215"/>
      <c r="K8" s="198" t="s">
        <v>139</v>
      </c>
      <c r="L8" s="200"/>
      <c r="M8" s="216"/>
      <c r="N8" s="217" t="s">
        <v>141</v>
      </c>
      <c r="O8" s="218"/>
      <c r="P8" s="198" t="s">
        <v>142</v>
      </c>
      <c r="Q8" s="199"/>
      <c r="R8" s="199"/>
      <c r="S8" s="199"/>
      <c r="T8" s="219" t="s">
        <v>143</v>
      </c>
      <c r="U8" s="219"/>
      <c r="V8" s="219"/>
      <c r="W8" s="220">
        <v>0</v>
      </c>
      <c r="X8" s="219" t="s">
        <v>143</v>
      </c>
      <c r="Y8" s="221"/>
      <c r="Z8" s="222">
        <v>0</v>
      </c>
    </row>
    <row r="9" ht="15" customHeight="1" spans="1:26" s="182" customFormat="1" x14ac:dyDescent="0.25">
      <c r="A9" s="223" t="s">
        <v>141</v>
      </c>
      <c r="B9" s="215"/>
      <c r="C9" s="198" t="s">
        <v>142</v>
      </c>
      <c r="D9" s="199"/>
      <c r="E9" s="199"/>
      <c r="F9" s="199"/>
      <c r="G9" s="215"/>
      <c r="H9" s="198" t="s">
        <v>143</v>
      </c>
      <c r="I9" s="199"/>
      <c r="J9" s="215"/>
      <c r="K9" s="224">
        <v>0</v>
      </c>
      <c r="L9" s="225"/>
      <c r="M9" s="186"/>
      <c r="N9" s="223" t="s">
        <v>144</v>
      </c>
      <c r="O9" s="215"/>
      <c r="P9" s="226">
        <v>4</v>
      </c>
      <c r="Q9" s="227"/>
      <c r="R9" s="227"/>
      <c r="S9" s="227"/>
      <c r="T9" s="228">
        <v>1</v>
      </c>
      <c r="U9" s="228"/>
      <c r="V9" s="228"/>
      <c r="W9" s="220">
        <v>0.11</v>
      </c>
      <c r="X9" s="228">
        <v>0</v>
      </c>
      <c r="Y9" s="228"/>
      <c r="Z9" s="222">
        <v>0</v>
      </c>
    </row>
    <row r="10" ht="15" customHeight="1" spans="1:26" s="182" customFormat="1" x14ac:dyDescent="0.25">
      <c r="A10" s="223" t="s">
        <v>144</v>
      </c>
      <c r="B10" s="215"/>
      <c r="C10" s="226">
        <v>4</v>
      </c>
      <c r="D10" s="227"/>
      <c r="E10" s="227"/>
      <c r="F10" s="227"/>
      <c r="G10" s="229"/>
      <c r="H10" s="226">
        <v>2</v>
      </c>
      <c r="I10" s="227"/>
      <c r="J10" s="229"/>
      <c r="K10" s="224">
        <v>0.2</v>
      </c>
      <c r="L10" s="225"/>
      <c r="M10" s="186"/>
      <c r="N10" s="223" t="s">
        <v>145</v>
      </c>
      <c r="O10" s="215"/>
      <c r="P10" s="226">
        <v>3</v>
      </c>
      <c r="Q10" s="227"/>
      <c r="R10" s="227"/>
      <c r="S10" s="227"/>
      <c r="T10" s="228">
        <v>3</v>
      </c>
      <c r="U10" s="228"/>
      <c r="V10" s="228"/>
      <c r="W10" s="220">
        <v>0.33</v>
      </c>
      <c r="X10" s="228">
        <v>2</v>
      </c>
      <c r="Y10" s="228"/>
      <c r="Z10" s="222">
        <v>0.25</v>
      </c>
    </row>
    <row r="11" ht="15" customHeight="1" spans="1:26" s="182" customFormat="1" x14ac:dyDescent="0.25">
      <c r="A11" s="223" t="s">
        <v>145</v>
      </c>
      <c r="B11" s="215"/>
      <c r="C11" s="226">
        <v>3</v>
      </c>
      <c r="D11" s="227"/>
      <c r="E11" s="227"/>
      <c r="F11" s="227"/>
      <c r="G11" s="229"/>
      <c r="H11" s="226">
        <v>4</v>
      </c>
      <c r="I11" s="227"/>
      <c r="J11" s="229"/>
      <c r="K11" s="224">
        <v>0.4</v>
      </c>
      <c r="L11" s="225"/>
      <c r="M11" s="186"/>
      <c r="N11" s="223" t="s">
        <v>146</v>
      </c>
      <c r="O11" s="215"/>
      <c r="P11" s="226">
        <v>2</v>
      </c>
      <c r="Q11" s="227"/>
      <c r="R11" s="227"/>
      <c r="S11" s="227"/>
      <c r="T11" s="228">
        <v>5</v>
      </c>
      <c r="U11" s="228"/>
      <c r="V11" s="228"/>
      <c r="W11" s="220">
        <v>0.56</v>
      </c>
      <c r="X11" s="228">
        <v>4</v>
      </c>
      <c r="Y11" s="228"/>
      <c r="Z11" s="222">
        <v>0.5</v>
      </c>
    </row>
    <row r="12" ht="15" customHeight="1" spans="1:26" s="182" customFormat="1" x14ac:dyDescent="0.25">
      <c r="A12" s="223" t="s">
        <v>147</v>
      </c>
      <c r="B12" s="215"/>
      <c r="C12" s="226">
        <v>2</v>
      </c>
      <c r="D12" s="227"/>
      <c r="E12" s="227"/>
      <c r="F12" s="227"/>
      <c r="G12" s="229"/>
      <c r="H12" s="226">
        <v>6</v>
      </c>
      <c r="I12" s="227"/>
      <c r="J12" s="229"/>
      <c r="K12" s="224">
        <v>0.6</v>
      </c>
      <c r="L12" s="225"/>
      <c r="M12" s="186"/>
      <c r="N12" s="223" t="s">
        <v>148</v>
      </c>
      <c r="O12" s="215"/>
      <c r="P12" s="226">
        <v>1</v>
      </c>
      <c r="Q12" s="227"/>
      <c r="R12" s="227"/>
      <c r="S12" s="227"/>
      <c r="T12" s="228">
        <v>7</v>
      </c>
      <c r="U12" s="228"/>
      <c r="V12" s="228"/>
      <c r="W12" s="220">
        <v>0.78</v>
      </c>
      <c r="X12" s="228">
        <v>6</v>
      </c>
      <c r="Y12" s="228"/>
      <c r="Z12" s="222">
        <v>0.75</v>
      </c>
    </row>
    <row r="13" ht="15" customHeight="1" spans="1:26" s="182" customFormat="1" x14ac:dyDescent="0.25">
      <c r="A13" s="223" t="s">
        <v>148</v>
      </c>
      <c r="B13" s="215"/>
      <c r="C13" s="226">
        <v>1</v>
      </c>
      <c r="D13" s="227"/>
      <c r="E13" s="227"/>
      <c r="F13" s="227"/>
      <c r="G13" s="229"/>
      <c r="H13" s="226">
        <v>8</v>
      </c>
      <c r="I13" s="227"/>
      <c r="J13" s="229"/>
      <c r="K13" s="224">
        <v>0.8</v>
      </c>
      <c r="L13" s="225"/>
      <c r="M13" s="186"/>
      <c r="N13" s="217" t="s">
        <v>149</v>
      </c>
      <c r="O13" s="218"/>
      <c r="P13" s="198" t="s">
        <v>150</v>
      </c>
      <c r="Q13" s="199"/>
      <c r="R13" s="199"/>
      <c r="S13" s="199"/>
      <c r="T13" s="230">
        <v>8</v>
      </c>
      <c r="U13" s="230"/>
      <c r="V13" s="230"/>
      <c r="W13" s="220">
        <v>0.89</v>
      </c>
      <c r="X13" s="230">
        <v>7</v>
      </c>
      <c r="Y13" s="230"/>
      <c r="Z13" s="222">
        <v>0.88</v>
      </c>
    </row>
    <row r="14" ht="15" customHeight="1" spans="1:26" s="182" customFormat="1" x14ac:dyDescent="0.25">
      <c r="A14" s="223" t="s">
        <v>149</v>
      </c>
      <c r="B14" s="215"/>
      <c r="C14" s="198" t="s">
        <v>151</v>
      </c>
      <c r="D14" s="199"/>
      <c r="E14" s="199"/>
      <c r="F14" s="199"/>
      <c r="G14" s="215"/>
      <c r="H14" s="226">
        <v>9</v>
      </c>
      <c r="I14" s="227"/>
      <c r="J14" s="229"/>
      <c r="K14" s="224">
        <v>0.9</v>
      </c>
      <c r="L14" s="225"/>
      <c r="M14" s="186"/>
      <c r="N14" s="231" t="s">
        <v>152</v>
      </c>
      <c r="O14" s="232"/>
      <c r="P14" s="233" t="s">
        <v>153</v>
      </c>
      <c r="Q14" s="234"/>
      <c r="R14" s="234"/>
      <c r="S14" s="234"/>
      <c r="T14" s="235">
        <v>9</v>
      </c>
      <c r="U14" s="235"/>
      <c r="V14" s="235"/>
      <c r="W14" s="236">
        <v>1</v>
      </c>
      <c r="X14" s="235">
        <v>8</v>
      </c>
      <c r="Y14" s="235"/>
      <c r="Z14" s="237">
        <v>1</v>
      </c>
    </row>
    <row r="15" ht="15" customHeight="1" spans="1:13" s="182" customFormat="1" x14ac:dyDescent="0.25">
      <c r="A15" s="231" t="s">
        <v>152</v>
      </c>
      <c r="B15" s="232"/>
      <c r="C15" s="233" t="s">
        <v>153</v>
      </c>
      <c r="D15" s="234"/>
      <c r="E15" s="234"/>
      <c r="F15" s="234"/>
      <c r="G15" s="232"/>
      <c r="H15" s="238">
        <v>10</v>
      </c>
      <c r="I15" s="239"/>
      <c r="J15" s="240"/>
      <c r="K15" s="241">
        <v>1</v>
      </c>
      <c r="L15" s="242"/>
      <c r="M15" s="186"/>
    </row>
    <row r="17" spans="1:1" s="243" customFormat="1" x14ac:dyDescent="0.25">
      <c r="A17" s="243" t="s">
        <v>154</v>
      </c>
    </row>
    <row r="18" spans="1:1" s="243" customFormat="1" x14ac:dyDescent="0.25">
      <c r="A18" s="243" t="s">
        <v>155</v>
      </c>
    </row>
    <row r="19" spans="6:12" x14ac:dyDescent="0.25">
      <c r="F19" s="244"/>
      <c r="G19" s="244"/>
      <c r="H19" s="245"/>
      <c r="I19" s="246"/>
      <c r="J19" s="246"/>
      <c r="K19" s="246"/>
      <c r="L19" s="246"/>
    </row>
    <row r="20" ht="15" customHeight="1" x14ac:dyDescent="0.25"/>
    <row r="21" spans="1:6" x14ac:dyDescent="0.25">
      <c r="A21" s="187" t="s">
        <v>156</v>
      </c>
      <c r="B21" s="247"/>
      <c r="C21" s="248" t="s">
        <v>13</v>
      </c>
      <c r="D21" s="249" t="s">
        <v>14</v>
      </c>
      <c r="E21" s="250"/>
      <c r="F21" s="251" t="s">
        <v>15</v>
      </c>
    </row>
    <row r="22" spans="1:6" x14ac:dyDescent="0.25">
      <c r="A22" s="252"/>
      <c r="B22" s="253"/>
      <c r="C22" s="254"/>
      <c r="D22" s="255"/>
      <c r="E22" s="256"/>
      <c r="F22" s="257"/>
    </row>
    <row r="23" spans="1:6" x14ac:dyDescent="0.25">
      <c r="A23" s="258" t="s">
        <v>157</v>
      </c>
      <c r="B23" s="259"/>
      <c r="C23" s="260">
        <v>0</v>
      </c>
      <c r="D23" s="261">
        <f>F23/3</f>
        <v>26.333333333333332</v>
      </c>
      <c r="E23" s="262"/>
      <c r="F23" s="263">
        <v>79</v>
      </c>
    </row>
    <row r="24" spans="1:6" x14ac:dyDescent="0.25">
      <c r="A24" s="258" t="s">
        <v>158</v>
      </c>
      <c r="B24" s="259"/>
      <c r="C24" s="260">
        <v>0</v>
      </c>
      <c r="D24" s="261">
        <f>F24/3</f>
        <v>13.333333333333334</v>
      </c>
      <c r="E24" s="262"/>
      <c r="F24" s="263">
        <v>40</v>
      </c>
    </row>
    <row r="25" spans="1:6" x14ac:dyDescent="0.25">
      <c r="A25" s="264" t="s">
        <v>159</v>
      </c>
      <c r="B25" s="265"/>
      <c r="C25" s="260">
        <v>0</v>
      </c>
      <c r="D25" s="261">
        <f>F25/3</f>
        <v>15.866666666666667</v>
      </c>
      <c r="E25" s="262"/>
      <c r="F25" s="263">
        <f>SUM(F23:F24)*0.4</f>
        <v>47.6</v>
      </c>
    </row>
    <row r="26" spans="1:6" x14ac:dyDescent="0.25">
      <c r="A26" s="258" t="s">
        <v>160</v>
      </c>
      <c r="B26" s="259"/>
      <c r="C26" s="260">
        <v>0</v>
      </c>
      <c r="D26" s="261">
        <f>F26/3</f>
        <v>8.33</v>
      </c>
      <c r="E26" s="262"/>
      <c r="F26" s="263">
        <f>SUM(F23:F25)*0.15</f>
        <v>24.99</v>
      </c>
    </row>
    <row r="27" ht="15" customHeight="1" spans="1:6" x14ac:dyDescent="0.25">
      <c r="A27" s="266" t="s">
        <v>161</v>
      </c>
      <c r="B27" s="267"/>
      <c r="C27" s="268">
        <f>SUM(C23:C26)</f>
        <v>0</v>
      </c>
      <c r="D27" s="269">
        <f>ROUND(SUM($D$23:$E$26),0)</f>
        <v>64</v>
      </c>
      <c r="E27" s="270"/>
      <c r="F27" s="271">
        <f>ROUND(SUM($F$23:$F$26),0)</f>
        <v>192</v>
      </c>
    </row>
    <row r="29" ht="15" customHeight="1" x14ac:dyDescent="0.25"/>
    <row r="30" ht="28.8" customHeight="1" spans="1:13" x14ac:dyDescent="0.25">
      <c r="A30" s="272" t="s">
        <v>39</v>
      </c>
      <c r="B30" s="273"/>
      <c r="C30" s="274" t="s">
        <v>40</v>
      </c>
      <c r="D30" s="275" t="s">
        <v>41</v>
      </c>
      <c r="E30" s="276"/>
      <c r="F30" s="273" t="s">
        <v>42</v>
      </c>
      <c r="G30" s="275" t="s">
        <v>43</v>
      </c>
      <c r="H30" s="276"/>
      <c r="I30" s="273" t="s">
        <v>44</v>
      </c>
      <c r="J30" s="273" t="s">
        <v>45</v>
      </c>
      <c r="K30" s="277" t="s">
        <v>46</v>
      </c>
      <c r="L30" s="277" t="s">
        <v>47</v>
      </c>
      <c r="M30" s="278" t="s">
        <v>48</v>
      </c>
    </row>
    <row r="31" ht="15" customHeight="1" spans="1:13" x14ac:dyDescent="0.25">
      <c r="A31" s="279">
        <f>ROUND(SUM($C$31:$M$31),-3)</f>
        <v>0</v>
      </c>
      <c r="B31" s="280"/>
      <c r="C31" s="281">
        <f>IF(SUM('DP Addendum'!L76:M76)&lt;&gt;0,ROUND(IF(SUM('DP Addendum'!L76:M76)&lt;=4999,189*40,IF(SUM('DP Addendum'!J28:L28)=5,SUM('DP Addendum'!L76:M76)*5*0.25,IF(SUM('DP Addendum'!J28:L28)=10,(SUM('DP Addendum'!L76:M76)*5*0.25)+(SUM('DP Addendum'!L76:M76)*5*0.125),0))),-2),0)</f>
        <v>0</v>
      </c>
      <c r="D31" s="282">
        <f>ROUND(SUM('DP Addendum'!L76:M76)*100,-2)</f>
        <v>0</v>
      </c>
      <c r="E31" s="283"/>
      <c r="F31" s="281">
        <f>ROUND(SUM('DP Addendum'!C68:D70)*1500,-2)</f>
        <v>0</v>
      </c>
      <c r="G31" s="282">
        <v>0</v>
      </c>
      <c r="H31" s="283"/>
      <c r="I31" s="281">
        <f>ROUND(SUM('DP Addendum'!C68:D70)*450,-2)</f>
        <v>0</v>
      </c>
      <c r="J31" s="281">
        <f>ROUND((SUM('DP Addendum'!C63:C64)*300),-2)</f>
        <v>0</v>
      </c>
      <c r="K31" s="281">
        <f>ROUND(IF(SUM('DP Addendum'!L76:M76)=0,"$0",IF(SUM('DP Addendum'!L76:M76)&lt;=5000,"$5,000",IF(SUM('DP Addendum'!L76:M76)&lt;=20000,"$10,000",IF(SUM('DP Addendum'!L76:M76)&lt;=40000,"$20,000",IF(SUM('DP Addendum'!L76:M76)&lt;=50000,"$30,000",IF(SUM('DP Addendum'!L76:M76)&gt;50000,"$40,000","")))))),-2)</f>
        <v>0</v>
      </c>
      <c r="L31" s="281"/>
      <c r="M31" s="284"/>
    </row>
    <row r="32" spans="1:1" x14ac:dyDescent="0.25">
      <c r="A32" s="285" t="s">
        <v>162</v>
      </c>
    </row>
    <row r="36" spans="4:4" x14ac:dyDescent="0.25">
      <c r="D36" s="286"/>
    </row>
  </sheetData>
  <mergeCells count="89">
    <mergeCell ref="A1:M3"/>
    <mergeCell ref="A6:L6"/>
    <mergeCell ref="N6:O7"/>
    <mergeCell ref="P6:S7"/>
    <mergeCell ref="T6:W6"/>
    <mergeCell ref="X6:Z6"/>
    <mergeCell ref="A7:B8"/>
    <mergeCell ref="C7:G8"/>
    <mergeCell ref="H7:L7"/>
    <mergeCell ref="T7:V7"/>
    <mergeCell ref="X7:Y7"/>
    <mergeCell ref="H8:J8"/>
    <mergeCell ref="K8:L8"/>
    <mergeCell ref="N8:O8"/>
    <mergeCell ref="P8:S8"/>
    <mergeCell ref="T8:V8"/>
    <mergeCell ref="X8:Y8"/>
    <mergeCell ref="A9:B9"/>
    <mergeCell ref="C9:G9"/>
    <mergeCell ref="H9:J9"/>
    <mergeCell ref="K9:L9"/>
    <mergeCell ref="N9:O9"/>
    <mergeCell ref="P9:S9"/>
    <mergeCell ref="T9:V9"/>
    <mergeCell ref="X9:Y9"/>
    <mergeCell ref="A10:B10"/>
    <mergeCell ref="C10:G10"/>
    <mergeCell ref="H10:J10"/>
    <mergeCell ref="K10:L10"/>
    <mergeCell ref="N10:O10"/>
    <mergeCell ref="P10:S10"/>
    <mergeCell ref="T10:V10"/>
    <mergeCell ref="X10:Y10"/>
    <mergeCell ref="A11:B11"/>
    <mergeCell ref="C11:G11"/>
    <mergeCell ref="H11:J11"/>
    <mergeCell ref="K11:L11"/>
    <mergeCell ref="N11:O11"/>
    <mergeCell ref="P11:S11"/>
    <mergeCell ref="T11:V11"/>
    <mergeCell ref="X11:Y11"/>
    <mergeCell ref="A12:B12"/>
    <mergeCell ref="C12:G12"/>
    <mergeCell ref="H12:J12"/>
    <mergeCell ref="K12:L12"/>
    <mergeCell ref="N12:O12"/>
    <mergeCell ref="P12:S12"/>
    <mergeCell ref="T12:V12"/>
    <mergeCell ref="X12:Y12"/>
    <mergeCell ref="A13:B13"/>
    <mergeCell ref="C13:G13"/>
    <mergeCell ref="H13:J13"/>
    <mergeCell ref="K13:L13"/>
    <mergeCell ref="N13:O13"/>
    <mergeCell ref="P13:S13"/>
    <mergeCell ref="T13:V13"/>
    <mergeCell ref="X13:Y13"/>
    <mergeCell ref="A14:B14"/>
    <mergeCell ref="C14:G14"/>
    <mergeCell ref="H14:J14"/>
    <mergeCell ref="K14:L14"/>
    <mergeCell ref="N14:O14"/>
    <mergeCell ref="P14:S14"/>
    <mergeCell ref="T14:V14"/>
    <mergeCell ref="X14:Y14"/>
    <mergeCell ref="A15:B15"/>
    <mergeCell ref="C15:G15"/>
    <mergeCell ref="H15:J15"/>
    <mergeCell ref="K15:L15"/>
    <mergeCell ref="A21:B22"/>
    <mergeCell ref="D21:E22"/>
    <mergeCell ref="C21:C22"/>
    <mergeCell ref="F21:F22"/>
    <mergeCell ref="A23:B23"/>
    <mergeCell ref="D23:E23"/>
    <mergeCell ref="A24:B24"/>
    <mergeCell ref="D24:E24"/>
    <mergeCell ref="A25:B25"/>
    <mergeCell ref="D25:E25"/>
    <mergeCell ref="A26:B26"/>
    <mergeCell ref="D26:E26"/>
    <mergeCell ref="A27:B27"/>
    <mergeCell ref="D27:E27"/>
    <mergeCell ref="A30:B30"/>
    <mergeCell ref="D30:E30"/>
    <mergeCell ref="G30:H30"/>
    <mergeCell ref="A31:B31"/>
    <mergeCell ref="D31:E31"/>
    <mergeCell ref="G31:H31"/>
  </mergeCells>
  <pageMargins left="0.7" right="0.7" top="0.75" bottom="0.75" header="0.3" footer="0.3"/>
  <pageSetup orientation="portrait" horizontalDpi="4294967295" verticalDpi="4294967295" scale="59"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27"/>
  <sheetViews>
    <sheetView workbookViewId="0" showGridLines="0" zoomScale="100" zoomScaleNormal="100">
      <selection activeCell="O82" sqref="O82"/>
    </sheetView>
  </sheetViews>
  <sheetFormatPr defaultRowHeight="15" outlineLevelRow="0" outlineLevelCol="0" x14ac:dyDescent="0.3" defaultColWidth="9.21875"/>
  <cols>
    <col min="1" max="1" width="14" style="1" customWidth="1"/>
    <col min="2" max="2" width="19.77734375" style="1" customWidth="1"/>
    <col min="3" max="3" width="17.44140625" style="1" customWidth="1"/>
    <col min="4" max="4" width="14.5546875" style="1" customWidth="1"/>
    <col min="5" max="5" width="3.21875" style="1" customWidth="1"/>
    <col min="6" max="6" width="17.77734375" style="1" customWidth="1"/>
    <col min="7" max="7" width="3.77734375" style="1" customWidth="1"/>
    <col min="8" max="8" width="16.77734375" style="1" customWidth="1"/>
    <col min="9" max="9" width="17.21875" style="1" customWidth="1"/>
    <col min="10" max="10" width="14.77734375" style="1" customWidth="1"/>
    <col min="11" max="11" width="8.77734375" style="1" customWidth="1"/>
    <col min="12" max="12" width="9" style="1" customWidth="1"/>
    <col min="13" max="13" width="17.5546875" style="1" customWidth="1"/>
    <col min="14" max="14" width="11.21875" style="2" customWidth="1"/>
    <col min="15" max="16384" width="9.21875" style="1" customWidth="1"/>
  </cols>
  <sheetData>
    <row r="1" ht="66" customHeight="1" spans="1:13" x14ac:dyDescent="0.25">
      <c r="A1" s="3" t="s">
        <v>0</v>
      </c>
      <c r="B1" s="3"/>
      <c r="C1" s="3"/>
      <c r="D1" s="3"/>
      <c r="E1" s="3"/>
      <c r="F1" s="3"/>
      <c r="G1" s="3"/>
      <c r="H1" s="3"/>
      <c r="I1" s="3"/>
      <c r="J1" s="3"/>
      <c r="K1" s="3"/>
      <c r="L1" s="3"/>
      <c r="M1" s="3"/>
    </row>
    <row r="2" ht="15" customHeight="1" spans="3:13" x14ac:dyDescent="0.25">
      <c r="C2" s="4"/>
      <c r="D2" s="4"/>
      <c r="E2" s="4"/>
      <c r="F2" s="4"/>
      <c r="G2" s="4"/>
      <c r="H2" s="4"/>
      <c r="I2" s="4"/>
      <c r="J2" s="4"/>
      <c r="K2" s="4"/>
      <c r="L2" s="4"/>
      <c r="M2" s="4"/>
    </row>
    <row r="3" ht="15" customHeight="1" spans="1:13" x14ac:dyDescent="0.25">
      <c r="A3" s="5" t="s">
        <v>1</v>
      </c>
      <c r="B3" s="5"/>
      <c r="C3" s="5"/>
      <c r="D3" s="5"/>
      <c r="E3" s="5"/>
      <c r="F3" s="5"/>
      <c r="G3" s="5"/>
      <c r="H3" s="5"/>
      <c r="I3" s="5"/>
      <c r="J3" s="5"/>
      <c r="K3" s="5"/>
      <c r="L3" s="5"/>
      <c r="M3" s="5"/>
    </row>
    <row r="4" ht="15" customHeight="1" spans="1:13" x14ac:dyDescent="0.25">
      <c r="A4" s="5"/>
      <c r="B4" s="5"/>
      <c r="C4" s="5"/>
      <c r="D4" s="5"/>
      <c r="E4" s="5"/>
      <c r="F4" s="5"/>
      <c r="G4" s="5"/>
      <c r="H4" s="5"/>
      <c r="I4" s="5"/>
      <c r="J4" s="5"/>
      <c r="K4" s="5"/>
      <c r="L4" s="5"/>
      <c r="M4" s="5"/>
    </row>
    <row r="5" ht="21" customHeight="1" spans="1:14" s="6" customFormat="1" x14ac:dyDescent="0.25">
      <c r="A5" s="7" t="s">
        <v>2</v>
      </c>
      <c r="B5" s="7"/>
      <c r="C5" s="7"/>
      <c r="D5" s="7"/>
      <c r="E5" s="7"/>
      <c r="F5" s="7"/>
      <c r="G5" s="7"/>
      <c r="H5" s="7"/>
      <c r="I5" s="7"/>
      <c r="J5" s="7"/>
      <c r="K5" s="7"/>
      <c r="L5" s="7"/>
      <c r="M5" s="7"/>
      <c r="N5" s="8"/>
    </row>
    <row r="6" ht="6.6" customHeight="1" spans="1:13" x14ac:dyDescent="0.25">
      <c r="A6" s="4"/>
      <c r="B6" s="9"/>
      <c r="C6" s="4"/>
      <c r="D6" s="4"/>
      <c r="E6" s="4"/>
      <c r="F6" s="4"/>
      <c r="G6" s="4"/>
      <c r="H6" s="9"/>
      <c r="I6" s="4"/>
      <c r="J6" s="9"/>
      <c r="K6" s="4"/>
      <c r="L6" s="4"/>
      <c r="M6" s="4"/>
    </row>
    <row r="7" ht="15" customHeight="1" spans="1:14" x14ac:dyDescent="0.25">
      <c r="A7" s="10" t="s">
        <v>3</v>
      </c>
      <c r="B7" s="11"/>
      <c r="C7" s="10" t="s">
        <v>4</v>
      </c>
      <c r="D7" s="11"/>
      <c r="E7" s="11"/>
      <c r="F7" s="12"/>
      <c r="G7" s="13" t="s">
        <v>5</v>
      </c>
      <c r="H7" s="14"/>
      <c r="I7" s="15" t="s">
        <v>6</v>
      </c>
      <c r="J7" s="16"/>
      <c r="K7" s="13" t="s">
        <v>7</v>
      </c>
      <c r="L7" s="11"/>
      <c r="M7" s="11"/>
      <c r="N7" s="17"/>
    </row>
    <row r="8" ht="15" customHeight="1" spans="1:14" x14ac:dyDescent="0.25">
      <c r="A8" s="10" t="s">
        <v>3</v>
      </c>
      <c r="B8" s="11"/>
      <c r="C8" s="10" t="s">
        <v>4</v>
      </c>
      <c r="D8" s="11"/>
      <c r="E8" s="11"/>
      <c r="F8" s="12"/>
      <c r="G8" s="13" t="s">
        <v>5</v>
      </c>
      <c r="H8" s="14"/>
      <c r="I8" s="15" t="s">
        <v>6</v>
      </c>
      <c r="J8" s="16"/>
      <c r="K8" s="13" t="s">
        <v>7</v>
      </c>
      <c r="L8" s="18"/>
      <c r="M8" s="18"/>
      <c r="N8" s="17"/>
    </row>
    <row r="9" ht="15" customHeight="1" spans="1:14" x14ac:dyDescent="0.25">
      <c r="A9" s="10" t="s">
        <v>3</v>
      </c>
      <c r="B9" s="11"/>
      <c r="C9" s="10" t="s">
        <v>4</v>
      </c>
      <c r="D9" s="11"/>
      <c r="E9" s="11"/>
      <c r="F9" s="12"/>
      <c r="G9" s="13" t="s">
        <v>5</v>
      </c>
      <c r="H9" s="14"/>
      <c r="I9" s="15" t="s">
        <v>6</v>
      </c>
      <c r="J9" s="16"/>
      <c r="K9" s="13" t="s">
        <v>7</v>
      </c>
      <c r="L9" s="11"/>
      <c r="M9" s="11"/>
      <c r="N9" s="17"/>
    </row>
    <row r="10" ht="15" customHeight="1" spans="7:13" x14ac:dyDescent="0.25">
      <c r="G10" s="19" t="s">
        <v>8</v>
      </c>
      <c r="H10" s="20">
        <f>SUM(H7:H9)</f>
        <v>0</v>
      </c>
      <c r="I10" s="21"/>
      <c r="J10" s="21"/>
      <c r="K10" s="21"/>
      <c r="L10" s="21"/>
      <c r="M10" s="21"/>
    </row>
    <row r="11" ht="15" customHeight="1" spans="7:13" x14ac:dyDescent="0.25">
      <c r="G11" s="19" t="s">
        <v>9</v>
      </c>
      <c r="H11" s="22">
        <f>IFERROR((L76-H10)/L76,0)</f>
        <v>0</v>
      </c>
      <c r="I11" s="21"/>
      <c r="J11" s="21"/>
      <c r="K11" s="21"/>
      <c r="L11" s="23" t="s">
        <v>10</v>
      </c>
      <c r="M11" s="24"/>
    </row>
    <row r="12" ht="15" customHeight="1" spans="7:18" x14ac:dyDescent="0.25">
      <c r="G12" s="19"/>
      <c r="H12" s="21"/>
      <c r="I12" s="21"/>
      <c r="J12" s="21"/>
      <c r="K12" s="25" t="s">
        <v>11</v>
      </c>
      <c r="L12" s="25"/>
      <c r="M12" s="26">
        <f>IFERROR($M$11/$H$10,0)</f>
        <v>0</v>
      </c>
      <c r="Q12" s="19"/>
      <c r="R12" s="27"/>
    </row>
    <row r="13" ht="15" customHeight="1" spans="1:18" x14ac:dyDescent="0.25">
      <c r="A13" s="28" t="s">
        <v>12</v>
      </c>
      <c r="B13" s="29"/>
      <c r="C13" s="30" t="s">
        <v>13</v>
      </c>
      <c r="D13" s="31" t="s">
        <v>14</v>
      </c>
      <c r="E13" s="32"/>
      <c r="F13" s="30" t="s">
        <v>15</v>
      </c>
      <c r="G13" s="31" t="s">
        <v>16</v>
      </c>
      <c r="H13" s="32"/>
      <c r="K13" s="25"/>
      <c r="L13" s="25"/>
      <c r="M13" s="26"/>
      <c r="Q13" s="19"/>
      <c r="R13" s="27"/>
    </row>
    <row r="14" ht="15" customHeight="1" spans="1:18" x14ac:dyDescent="0.25">
      <c r="A14" s="28" t="s">
        <v>17</v>
      </c>
      <c r="B14" s="29"/>
      <c r="C14" s="33"/>
      <c r="D14" s="34"/>
      <c r="E14" s="35"/>
      <c r="F14" s="33"/>
      <c r="G14" s="36">
        <f>SUM(C14:F14)</f>
        <v>0</v>
      </c>
      <c r="H14" s="37"/>
      <c r="I14" s="38" t="s">
        <v>18</v>
      </c>
      <c r="K14" s="39" t="s">
        <v>19</v>
      </c>
      <c r="L14" s="39"/>
      <c r="M14" s="40">
        <f>IFERROR(H10/G14,0)</f>
        <v>0</v>
      </c>
      <c r="Q14" s="19"/>
      <c r="R14" s="27"/>
    </row>
    <row r="15" ht="15" customHeight="1" spans="1:18" x14ac:dyDescent="0.25">
      <c r="A15" s="41" t="s">
        <v>20</v>
      </c>
      <c r="B15" s="42"/>
      <c r="C15" s="43"/>
      <c r="D15" s="43"/>
      <c r="E15" s="43"/>
      <c r="F15" s="44"/>
      <c r="G15" s="45"/>
      <c r="H15" s="45"/>
      <c r="I15" s="46"/>
      <c r="K15" s="39"/>
      <c r="L15" s="39"/>
      <c r="M15" s="40"/>
      <c r="Q15" s="19"/>
      <c r="R15" s="27"/>
    </row>
    <row r="16" ht="7.5" customHeight="1" spans="1:13" x14ac:dyDescent="0.25">
      <c r="A16" s="47"/>
      <c r="B16" s="48"/>
      <c r="C16" s="48"/>
      <c r="D16" s="48"/>
      <c r="E16" s="48"/>
      <c r="F16" s="48"/>
      <c r="G16" s="49"/>
      <c r="H16" s="50"/>
      <c r="I16" s="51"/>
      <c r="J16" s="51"/>
      <c r="K16" s="19"/>
      <c r="M16" s="52"/>
    </row>
    <row r="17" ht="15" customHeight="1" spans="1:13" x14ac:dyDescent="0.25">
      <c r="A17" s="4" t="s">
        <v>21</v>
      </c>
      <c r="B17" s="4"/>
      <c r="C17" s="4"/>
      <c r="D17" s="4"/>
      <c r="E17" s="4"/>
      <c r="F17" s="4"/>
      <c r="G17" s="4"/>
      <c r="H17" s="4"/>
      <c r="I17" s="4"/>
      <c r="J17" s="4"/>
      <c r="K17" s="4"/>
      <c r="L17" s="4"/>
      <c r="M17" s="4"/>
    </row>
    <row r="18" ht="7.5" customHeight="1" spans="1:13" x14ac:dyDescent="0.25">
      <c r="A18" s="53"/>
      <c r="B18" s="53"/>
      <c r="C18" s="53"/>
      <c r="D18" s="53"/>
      <c r="E18" s="53"/>
      <c r="F18" s="53"/>
      <c r="G18" s="53"/>
      <c r="H18" s="53"/>
      <c r="I18" s="53"/>
      <c r="J18" s="53"/>
      <c r="K18" s="53"/>
      <c r="L18" s="53"/>
      <c r="M18" s="53"/>
    </row>
    <row r="19" ht="15" customHeight="1" spans="1:14" x14ac:dyDescent="0.25">
      <c r="A19" s="10" t="s">
        <v>3</v>
      </c>
      <c r="B19" s="11"/>
      <c r="C19" s="10" t="s">
        <v>22</v>
      </c>
      <c r="D19" s="11"/>
      <c r="E19" s="11"/>
      <c r="F19" s="12"/>
      <c r="G19" s="13" t="s">
        <v>23</v>
      </c>
      <c r="H19" s="14"/>
      <c r="I19" s="15" t="s">
        <v>24</v>
      </c>
      <c r="J19" s="16"/>
      <c r="K19" s="13"/>
      <c r="L19" s="54" t="s">
        <v>25</v>
      </c>
      <c r="M19" s="55"/>
      <c r="N19" s="17"/>
    </row>
    <row r="20" ht="15" customHeight="1" spans="1:14" x14ac:dyDescent="0.25">
      <c r="A20" s="10" t="s">
        <v>3</v>
      </c>
      <c r="B20" s="18"/>
      <c r="C20" s="10" t="s">
        <v>22</v>
      </c>
      <c r="D20" s="18"/>
      <c r="E20" s="18"/>
      <c r="F20" s="12"/>
      <c r="G20" s="13" t="s">
        <v>23</v>
      </c>
      <c r="H20" s="56"/>
      <c r="I20" s="15" t="s">
        <v>24</v>
      </c>
      <c r="J20" s="57"/>
      <c r="K20" s="13"/>
      <c r="L20" s="54" t="s">
        <v>25</v>
      </c>
      <c r="M20" s="55"/>
      <c r="N20" s="17"/>
    </row>
    <row r="21" ht="15" customHeight="1" spans="1:14" x14ac:dyDescent="0.25">
      <c r="A21" s="10" t="s">
        <v>3</v>
      </c>
      <c r="B21" s="11"/>
      <c r="C21" s="10" t="s">
        <v>22</v>
      </c>
      <c r="D21" s="11"/>
      <c r="E21" s="11"/>
      <c r="F21" s="12"/>
      <c r="G21" s="13" t="s">
        <v>23</v>
      </c>
      <c r="H21" s="14"/>
      <c r="I21" s="15" t="s">
        <v>24</v>
      </c>
      <c r="J21" s="16"/>
      <c r="K21" s="13"/>
      <c r="L21" s="54" t="s">
        <v>25</v>
      </c>
      <c r="M21" s="55"/>
      <c r="N21" s="17"/>
    </row>
    <row r="22" ht="15" customHeight="1" spans="1:12" x14ac:dyDescent="0.25">
      <c r="A22" s="58"/>
      <c r="B22" s="58"/>
      <c r="J22" s="51"/>
      <c r="K22" s="51"/>
      <c r="L22" s="51"/>
    </row>
    <row r="23" ht="21" customHeight="1" spans="1:14" s="6" customFormat="1" x14ac:dyDescent="0.25">
      <c r="A23" s="7" t="s">
        <v>26</v>
      </c>
      <c r="B23" s="7"/>
      <c r="C23" s="7"/>
      <c r="D23" s="7"/>
      <c r="E23" s="7"/>
      <c r="F23" s="7"/>
      <c r="G23" s="7"/>
      <c r="H23" s="7"/>
      <c r="I23" s="7"/>
      <c r="J23" s="7"/>
      <c r="K23" s="7"/>
      <c r="L23" s="7"/>
      <c r="M23" s="7"/>
      <c r="N23" s="8"/>
    </row>
    <row r="24" ht="15" customHeight="1" spans="1:13" x14ac:dyDescent="0.25">
      <c r="A24" s="59"/>
      <c r="B24" s="59"/>
      <c r="C24" s="59"/>
      <c r="D24" s="59"/>
      <c r="E24" s="59"/>
      <c r="F24" s="59"/>
      <c r="G24" s="59"/>
      <c r="H24" s="59"/>
      <c r="I24" s="59"/>
      <c r="J24" s="59"/>
      <c r="K24" s="59"/>
      <c r="L24" s="59"/>
      <c r="M24" s="59"/>
    </row>
    <row r="25" ht="15" customHeight="1" spans="3:12" x14ac:dyDescent="0.25">
      <c r="C25" s="19" t="s">
        <v>27</v>
      </c>
      <c r="D25" s="60"/>
      <c r="E25" s="60"/>
      <c r="F25" s="60"/>
      <c r="I25" s="19" t="s">
        <v>28</v>
      </c>
      <c r="J25" s="61"/>
      <c r="K25" s="61"/>
      <c r="L25" s="61"/>
    </row>
    <row r="26" ht="15" customHeight="1" spans="3:12" x14ac:dyDescent="0.25">
      <c r="C26" s="19" t="s">
        <v>29</v>
      </c>
      <c r="D26" s="60"/>
      <c r="E26" s="60"/>
      <c r="F26" s="60"/>
      <c r="G26" s="62"/>
      <c r="I26" s="63" t="s">
        <v>30</v>
      </c>
      <c r="J26" s="61"/>
      <c r="K26" s="61"/>
      <c r="L26" s="61"/>
    </row>
    <row r="27" ht="15" customHeight="1" spans="3:12" x14ac:dyDescent="0.25">
      <c r="C27" s="19" t="s">
        <v>31</v>
      </c>
      <c r="D27" s="64"/>
      <c r="E27" s="65"/>
      <c r="F27" s="66"/>
      <c r="G27" s="62"/>
      <c r="I27" s="63" t="s">
        <v>32</v>
      </c>
      <c r="J27" s="67"/>
      <c r="K27" s="67"/>
      <c r="L27" s="67"/>
    </row>
    <row r="28" ht="15" customHeight="1" spans="3:12" x14ac:dyDescent="0.25">
      <c r="C28" s="19" t="s">
        <v>33</v>
      </c>
      <c r="D28" s="64"/>
      <c r="E28" s="65"/>
      <c r="F28" s="66"/>
      <c r="G28" s="62"/>
      <c r="I28" s="19" t="s">
        <v>34</v>
      </c>
      <c r="J28" s="61"/>
      <c r="K28" s="61"/>
      <c r="L28" s="61"/>
    </row>
    <row r="29" ht="15" customHeight="1" spans="9:16" x14ac:dyDescent="0.25">
      <c r="I29" s="19" t="s">
        <v>35</v>
      </c>
      <c r="J29" s="68"/>
      <c r="K29" s="68"/>
      <c r="L29" s="68"/>
      <c r="M29" s="19"/>
      <c r="N29" s="19"/>
      <c r="O29" s="19"/>
      <c r="P29" s="19"/>
    </row>
    <row r="30" ht="15" customHeight="1" spans="11:14" x14ac:dyDescent="0.25">
      <c r="K30" s="19"/>
      <c r="N30" s="1"/>
    </row>
    <row r="31" ht="17.25" customHeight="1" spans="1:14" x14ac:dyDescent="0.25">
      <c r="A31" s="69" t="s">
        <v>36</v>
      </c>
      <c r="B31" s="70"/>
      <c r="C31" s="70"/>
      <c r="D31" s="70"/>
      <c r="E31" s="70"/>
      <c r="F31" s="70"/>
      <c r="G31" s="70"/>
      <c r="H31" s="70"/>
      <c r="I31" s="70"/>
      <c r="J31" s="70"/>
      <c r="K31" s="70"/>
      <c r="L31" s="70"/>
      <c r="M31" s="70"/>
      <c r="N31" s="1"/>
    </row>
    <row r="32" ht="14.4" customHeight="1" spans="1:14" x14ac:dyDescent="0.25">
      <c r="A32" s="71"/>
      <c r="B32" s="71"/>
      <c r="C32" s="71"/>
      <c r="D32" s="71"/>
      <c r="E32" s="71"/>
      <c r="F32" s="71"/>
      <c r="G32" s="71"/>
      <c r="H32" s="71"/>
      <c r="I32" s="71"/>
      <c r="J32" s="71"/>
      <c r="K32" s="71"/>
      <c r="L32" s="71"/>
      <c r="M32" s="71"/>
      <c r="N32" s="1"/>
    </row>
    <row r="33" ht="14.4" customHeight="1" spans="1:13" x14ac:dyDescent="0.25">
      <c r="A33" s="71"/>
      <c r="B33" s="71"/>
      <c r="C33" s="71"/>
      <c r="D33" s="71"/>
      <c r="E33" s="71"/>
      <c r="F33" s="71"/>
      <c r="G33" s="71"/>
      <c r="H33" s="71"/>
      <c r="I33" s="71"/>
      <c r="J33" s="71"/>
      <c r="K33" s="71"/>
      <c r="L33" s="71"/>
      <c r="M33" s="71"/>
    </row>
    <row r="34" ht="14.4" customHeight="1" spans="1:13" x14ac:dyDescent="0.25">
      <c r="A34" s="71"/>
      <c r="B34" s="71"/>
      <c r="C34" s="71"/>
      <c r="D34" s="71"/>
      <c r="E34" s="71"/>
      <c r="F34" s="71"/>
      <c r="G34" s="71"/>
      <c r="H34" s="71"/>
      <c r="I34" s="71"/>
      <c r="J34" s="71"/>
      <c r="K34" s="71"/>
      <c r="L34" s="71"/>
      <c r="M34" s="71"/>
    </row>
    <row r="35" ht="14.4" customHeight="1" spans="1:13" x14ac:dyDescent="0.25">
      <c r="A35" s="71"/>
      <c r="B35" s="71"/>
      <c r="C35" s="71"/>
      <c r="D35" s="71"/>
      <c r="E35" s="71"/>
      <c r="F35" s="71"/>
      <c r="G35" s="71"/>
      <c r="H35" s="71"/>
      <c r="I35" s="71"/>
      <c r="J35" s="71"/>
      <c r="K35" s="71"/>
      <c r="L35" s="71"/>
      <c r="M35" s="71"/>
    </row>
    <row r="36" ht="14.4" customHeight="1" spans="1:13" x14ac:dyDescent="0.25">
      <c r="A36" s="71"/>
      <c r="B36" s="71"/>
      <c r="C36" s="71"/>
      <c r="D36" s="71"/>
      <c r="E36" s="71"/>
      <c r="F36" s="71"/>
      <c r="G36" s="71"/>
      <c r="H36" s="71"/>
      <c r="I36" s="71"/>
      <c r="J36" s="71"/>
      <c r="K36" s="71"/>
      <c r="L36" s="71"/>
      <c r="M36" s="71"/>
    </row>
    <row r="37" ht="7.35" customHeight="1" spans="1:13" x14ac:dyDescent="0.25">
      <c r="A37" s="72"/>
      <c r="B37" s="72"/>
      <c r="C37" s="72"/>
      <c r="D37" s="72"/>
      <c r="E37" s="72"/>
      <c r="F37" s="72"/>
      <c r="G37" s="72"/>
      <c r="H37" s="72"/>
      <c r="I37" s="72"/>
      <c r="J37" s="72"/>
      <c r="K37" s="72"/>
      <c r="L37" s="72"/>
      <c r="M37" s="72"/>
    </row>
    <row r="38" ht="21" customHeight="1" spans="1:14" s="6" customFormat="1" x14ac:dyDescent="0.25">
      <c r="A38" s="73" t="s">
        <v>37</v>
      </c>
      <c r="B38" s="74"/>
      <c r="C38" s="74"/>
      <c r="D38" s="74"/>
      <c r="E38" s="74"/>
      <c r="F38" s="74"/>
      <c r="G38" s="74"/>
      <c r="H38" s="74"/>
      <c r="I38" s="74"/>
      <c r="J38" s="74"/>
      <c r="K38" s="74"/>
      <c r="L38" s="74"/>
      <c r="M38" s="75"/>
      <c r="N38" s="8"/>
    </row>
    <row r="39" ht="15" customHeight="1" spans="1:13" x14ac:dyDescent="0.25">
      <c r="A39" s="76" t="s">
        <v>38</v>
      </c>
      <c r="B39" s="76"/>
      <c r="C39" s="76"/>
      <c r="D39" s="76"/>
      <c r="E39" s="76"/>
      <c r="F39" s="76"/>
      <c r="G39" s="76"/>
      <c r="H39" s="76"/>
      <c r="I39" s="76"/>
      <c r="J39" s="76"/>
      <c r="K39" s="76"/>
      <c r="L39" s="76"/>
      <c r="M39" s="76"/>
    </row>
    <row r="40" ht="28.5" customHeight="1" spans="1:13" x14ac:dyDescent="0.25">
      <c r="A40" s="77" t="s">
        <v>39</v>
      </c>
      <c r="B40" s="77"/>
      <c r="C40" s="78" t="s">
        <v>40</v>
      </c>
      <c r="D40" s="79" t="s">
        <v>41</v>
      </c>
      <c r="E40" s="80"/>
      <c r="F40" s="77" t="s">
        <v>42</v>
      </c>
      <c r="G40" s="79" t="s">
        <v>43</v>
      </c>
      <c r="H40" s="80"/>
      <c r="I40" s="77" t="s">
        <v>44</v>
      </c>
      <c r="J40" s="77" t="s">
        <v>45</v>
      </c>
      <c r="K40" s="81" t="s">
        <v>46</v>
      </c>
      <c r="L40" s="81" t="s">
        <v>47</v>
      </c>
      <c r="M40" s="81" t="s">
        <v>48</v>
      </c>
    </row>
    <row r="41" ht="15" customHeight="1" spans="1:13" x14ac:dyDescent="0.25">
      <c r="A41" s="82">
        <f>ROUND(SUM($C$41:$M$41),-3)</f>
        <v>0</v>
      </c>
      <c r="B41" s="82"/>
      <c r="C41" s="83"/>
      <c r="D41" s="84"/>
      <c r="E41" s="85"/>
      <c r="F41" s="83"/>
      <c r="G41" s="84"/>
      <c r="H41" s="85"/>
      <c r="I41" s="83"/>
      <c r="J41" s="83"/>
      <c r="K41" s="83"/>
      <c r="L41" s="83"/>
      <c r="M41" s="83"/>
    </row>
    <row r="42" ht="22.35" customHeight="1" spans="1:13" x14ac:dyDescent="0.25">
      <c r="A42" s="86" t="s">
        <v>49</v>
      </c>
      <c r="B42" s="87"/>
      <c r="C42" s="88"/>
      <c r="D42" s="88"/>
      <c r="E42" s="88"/>
      <c r="F42" s="88"/>
      <c r="G42" s="88"/>
      <c r="H42" s="88"/>
      <c r="I42" s="88"/>
      <c r="J42" s="88"/>
      <c r="K42" s="88"/>
      <c r="L42" s="88"/>
      <c r="M42" s="88"/>
    </row>
    <row r="43" ht="15" customHeight="1" spans="1:13" x14ac:dyDescent="0.25">
      <c r="A43" s="89"/>
      <c r="B43" s="89"/>
      <c r="C43" s="89"/>
      <c r="D43" s="89"/>
      <c r="E43" s="89"/>
      <c r="F43" s="89"/>
      <c r="G43" s="89"/>
      <c r="H43" s="89"/>
      <c r="I43" s="89"/>
      <c r="J43" s="89"/>
      <c r="K43" s="89"/>
      <c r="L43" s="89"/>
      <c r="M43" s="89"/>
    </row>
    <row r="44" ht="15" customHeight="1" spans="1:13" x14ac:dyDescent="0.25">
      <c r="A44" s="89"/>
      <c r="B44" s="89"/>
      <c r="C44" s="89"/>
      <c r="D44" s="89"/>
      <c r="E44" s="89"/>
      <c r="F44" s="89"/>
      <c r="G44" s="89"/>
      <c r="H44" s="89"/>
      <c r="I44" s="89"/>
      <c r="J44" s="89"/>
      <c r="K44" s="89"/>
      <c r="L44" s="89"/>
      <c r="M44" s="89"/>
    </row>
    <row r="45" ht="15" customHeight="1" spans="1:13" x14ac:dyDescent="0.25">
      <c r="A45" s="89"/>
      <c r="B45" s="89"/>
      <c r="C45" s="89"/>
      <c r="D45" s="89"/>
      <c r="E45" s="89"/>
      <c r="F45" s="89"/>
      <c r="G45" s="89"/>
      <c r="H45" s="89"/>
      <c r="I45" s="89"/>
      <c r="J45" s="89"/>
      <c r="K45" s="89"/>
      <c r="L45" s="89"/>
      <c r="M45" s="89"/>
    </row>
    <row r="46" ht="10.35" customHeight="1" spans="1:13" x14ac:dyDescent="0.25">
      <c r="A46" s="90"/>
      <c r="B46" s="90"/>
      <c r="C46" s="90"/>
      <c r="D46" s="90"/>
      <c r="E46" s="90"/>
      <c r="F46" s="90"/>
      <c r="G46" s="90"/>
      <c r="H46" s="90"/>
      <c r="I46" s="90"/>
      <c r="J46" s="90"/>
      <c r="K46" s="90"/>
      <c r="L46" s="90"/>
      <c r="M46" s="90"/>
    </row>
    <row r="47" ht="14.55" customHeight="1" spans="1:13" x14ac:dyDescent="0.25">
      <c r="A47" s="91" t="s">
        <v>50</v>
      </c>
      <c r="B47" s="92"/>
      <c r="C47" s="92"/>
      <c r="D47" s="92"/>
      <c r="E47" s="92"/>
      <c r="F47" s="92"/>
      <c r="G47" s="92"/>
      <c r="H47" s="92"/>
      <c r="I47" s="92"/>
      <c r="J47" s="92"/>
      <c r="K47" s="92"/>
      <c r="L47" s="92"/>
      <c r="M47" s="93"/>
    </row>
    <row r="48" ht="15" customHeight="1" spans="1:13" x14ac:dyDescent="0.25">
      <c r="A48" s="94"/>
      <c r="B48" s="95"/>
      <c r="C48" s="95"/>
      <c r="D48" s="95"/>
      <c r="E48" s="95"/>
      <c r="F48" s="95"/>
      <c r="G48" s="95"/>
      <c r="H48" s="95"/>
      <c r="I48" s="95"/>
      <c r="J48" s="95"/>
      <c r="K48" s="95"/>
      <c r="L48" s="95"/>
      <c r="M48" s="96"/>
    </row>
    <row r="49" ht="16.35" customHeight="1" spans="1:20" s="2" customFormat="1" x14ac:dyDescent="0.25">
      <c r="A49" s="53" t="s">
        <v>51</v>
      </c>
      <c r="B49" s="53"/>
      <c r="C49" s="53"/>
      <c r="D49" s="53"/>
      <c r="E49" s="53"/>
      <c r="F49" s="53"/>
      <c r="G49" s="53"/>
      <c r="H49" s="53"/>
      <c r="I49" s="53"/>
      <c r="J49" s="53"/>
      <c r="K49" s="53"/>
      <c r="L49" s="53"/>
      <c r="M49" s="53"/>
      <c r="O49" s="1"/>
      <c r="P49" s="1"/>
      <c r="Q49" s="1"/>
      <c r="R49" s="1"/>
      <c r="S49" s="1"/>
      <c r="T49" s="1"/>
    </row>
    <row r="50" ht="15" customHeight="1" spans="1:20" s="2" customFormat="1" x14ac:dyDescent="0.25">
      <c r="A50" s="97" t="s">
        <v>52</v>
      </c>
      <c r="B50" s="97"/>
      <c r="C50" s="30" t="s">
        <v>53</v>
      </c>
      <c r="D50" s="30"/>
      <c r="E50" s="98" t="s">
        <v>48</v>
      </c>
      <c r="F50" s="99"/>
      <c r="G50" s="30" t="s">
        <v>54</v>
      </c>
      <c r="H50" s="30"/>
      <c r="I50" s="100" t="s">
        <v>55</v>
      </c>
      <c r="J50" s="30" t="s">
        <v>10</v>
      </c>
      <c r="K50" s="30"/>
      <c r="L50" s="30" t="s">
        <v>56</v>
      </c>
      <c r="M50" s="30"/>
      <c r="O50" s="1"/>
      <c r="P50" s="1"/>
      <c r="Q50" s="1"/>
      <c r="R50" s="1"/>
      <c r="S50" s="1"/>
      <c r="T50" s="1"/>
    </row>
    <row r="51" ht="15" customHeight="1" spans="1:20" s="2" customFormat="1" x14ac:dyDescent="0.25">
      <c r="A51" s="101" t="s">
        <v>57</v>
      </c>
      <c r="B51" s="101"/>
      <c r="C51" s="30"/>
      <c r="D51" s="30"/>
      <c r="E51" s="102"/>
      <c r="F51" s="103"/>
      <c r="G51" s="30"/>
      <c r="H51" s="30"/>
      <c r="I51" s="100"/>
      <c r="J51" s="30"/>
      <c r="K51" s="30"/>
      <c r="L51" s="30"/>
      <c r="M51" s="30"/>
      <c r="O51" s="1"/>
      <c r="P51" s="1"/>
      <c r="Q51" s="1"/>
      <c r="R51" s="1"/>
      <c r="S51" s="1"/>
      <c r="T51" s="1"/>
    </row>
    <row r="52" ht="15" customHeight="1" spans="1:20" s="2" customFormat="1" x14ac:dyDescent="0.25">
      <c r="A52" s="24"/>
      <c r="B52" s="24"/>
      <c r="C52" s="104">
        <f>$A$52*$L$76</f>
        <v>0</v>
      </c>
      <c r="D52" s="104"/>
      <c r="E52" s="24"/>
      <c r="F52" s="24"/>
      <c r="G52" s="104">
        <f>SUM(C52:F52)</f>
        <v>0</v>
      </c>
      <c r="H52" s="104"/>
      <c r="I52" s="105">
        <v>0</v>
      </c>
      <c r="J52" s="104">
        <f>SUM(G52:I52)</f>
        <v>0</v>
      </c>
      <c r="K52" s="104"/>
      <c r="L52" s="26">
        <f>IFERROR($J$52/$L$76,0)</f>
        <v>0</v>
      </c>
      <c r="M52" s="26"/>
      <c r="O52" s="1"/>
      <c r="P52" s="1"/>
      <c r="Q52" s="1"/>
      <c r="R52" s="1"/>
      <c r="S52" s="1"/>
      <c r="T52" s="1"/>
    </row>
    <row r="53" ht="7.5" customHeight="1" x14ac:dyDescent="0.25"/>
    <row r="54" ht="4.5" customHeight="1" spans="1:13" x14ac:dyDescent="0.25">
      <c r="A54" s="72"/>
      <c r="B54" s="72"/>
      <c r="C54" s="72"/>
      <c r="D54" s="72"/>
      <c r="E54" s="72"/>
      <c r="F54" s="72"/>
      <c r="G54" s="72"/>
      <c r="H54" s="72"/>
      <c r="I54" s="72"/>
      <c r="J54" s="72"/>
      <c r="K54" s="72"/>
      <c r="L54" s="72"/>
      <c r="M54" s="72"/>
    </row>
    <row r="55" ht="21" customHeight="1" spans="1:14" s="6" customFormat="1" x14ac:dyDescent="0.25">
      <c r="A55" s="7" t="s">
        <v>58</v>
      </c>
      <c r="B55" s="7"/>
      <c r="C55" s="7"/>
      <c r="D55" s="7"/>
      <c r="E55" s="7"/>
      <c r="F55" s="7"/>
      <c r="G55" s="7"/>
      <c r="H55" s="7"/>
      <c r="I55" s="7"/>
      <c r="J55" s="7"/>
      <c r="K55" s="7"/>
      <c r="L55" s="7"/>
      <c r="M55" s="7"/>
      <c r="N55" s="8"/>
    </row>
    <row r="56" ht="15" customHeight="1" spans="1:14" s="106" customFormat="1" x14ac:dyDescent="0.25">
      <c r="A56" s="107" t="s">
        <v>59</v>
      </c>
      <c r="B56" s="107"/>
      <c r="C56" s="107"/>
      <c r="D56" s="107"/>
      <c r="E56" s="107"/>
      <c r="F56" s="107"/>
      <c r="G56" s="107"/>
      <c r="H56" s="107"/>
      <c r="I56" s="107"/>
      <c r="J56" s="107"/>
      <c r="K56" s="107"/>
      <c r="L56" s="107"/>
      <c r="M56" s="107"/>
      <c r="N56" s="108"/>
    </row>
    <row r="57" ht="15" customHeight="1" spans="1:17" s="106" customFormat="1" x14ac:dyDescent="0.25">
      <c r="A57" s="107"/>
      <c r="B57" s="107"/>
      <c r="C57" s="107"/>
      <c r="D57" s="107"/>
      <c r="E57" s="107"/>
      <c r="F57" s="107"/>
      <c r="G57" s="107"/>
      <c r="H57" s="107"/>
      <c r="I57" s="107"/>
      <c r="J57" s="107"/>
      <c r="K57" s="107"/>
      <c r="L57" s="107"/>
      <c r="M57" s="107"/>
      <c r="N57" s="108"/>
      <c r="Q57" s="106" t="s">
        <v>60</v>
      </c>
    </row>
    <row r="58" ht="15" customHeight="1" spans="1:13" x14ac:dyDescent="0.25">
      <c r="A58" s="107"/>
      <c r="B58" s="107"/>
      <c r="C58" s="107"/>
      <c r="D58" s="107"/>
      <c r="E58" s="107"/>
      <c r="F58" s="107"/>
      <c r="G58" s="107"/>
      <c r="H58" s="107"/>
      <c r="I58" s="107"/>
      <c r="J58" s="107"/>
      <c r="K58" s="107"/>
      <c r="L58" s="107"/>
      <c r="M58" s="107"/>
    </row>
    <row r="59" ht="6.6" customHeight="1" spans="1:13" x14ac:dyDescent="0.25">
      <c r="A59" s="107"/>
      <c r="B59" s="107"/>
      <c r="C59" s="107"/>
      <c r="D59" s="107"/>
      <c r="E59" s="107"/>
      <c r="F59" s="107"/>
      <c r="G59" s="107"/>
      <c r="H59" s="107"/>
      <c r="I59" s="107"/>
      <c r="J59" s="107"/>
      <c r="K59" s="107"/>
      <c r="L59" s="107"/>
      <c r="M59" s="107"/>
    </row>
    <row r="60" ht="5.1" customHeight="1" spans="1:13" x14ac:dyDescent="0.25">
      <c r="A60" s="109"/>
      <c r="B60" s="109"/>
      <c r="C60" s="109"/>
      <c r="D60" s="109"/>
      <c r="E60" s="109"/>
      <c r="F60" s="109"/>
      <c r="H60" s="109"/>
      <c r="I60" s="109"/>
      <c r="J60" s="110"/>
      <c r="K60" s="111"/>
      <c r="L60" s="111"/>
      <c r="M60" s="111"/>
    </row>
    <row r="61" ht="43.5" customHeight="1" spans="1:13" x14ac:dyDescent="0.25">
      <c r="A61" s="100" t="s">
        <v>61</v>
      </c>
      <c r="B61" s="100"/>
      <c r="C61" s="100" t="s">
        <v>17</v>
      </c>
      <c r="D61" s="28" t="s">
        <v>62</v>
      </c>
      <c r="E61" s="29"/>
      <c r="F61" s="100" t="s">
        <v>63</v>
      </c>
      <c r="G61" s="42"/>
      <c r="H61" s="30" t="s">
        <v>64</v>
      </c>
      <c r="I61" s="30"/>
      <c r="J61" s="30"/>
      <c r="K61" s="30"/>
      <c r="L61" s="32" t="s">
        <v>62</v>
      </c>
      <c r="M61" s="30"/>
    </row>
    <row r="62" ht="14.4" customHeight="1" spans="1:13" x14ac:dyDescent="0.25">
      <c r="A62" s="112" t="s">
        <v>13</v>
      </c>
      <c r="B62" s="113"/>
      <c r="C62" s="114"/>
      <c r="D62" s="115">
        <f>C62*'Reference Tables'!C27</f>
        <v>0</v>
      </c>
      <c r="E62" s="116"/>
      <c r="F62" s="117">
        <f>IFERROR(D62/D65,0)</f>
        <v>0</v>
      </c>
      <c r="G62" s="118"/>
      <c r="H62" s="119"/>
      <c r="I62" s="119"/>
      <c r="J62" s="119"/>
      <c r="K62" s="119"/>
      <c r="L62" s="120"/>
      <c r="M62" s="121"/>
    </row>
    <row r="63" ht="15" customHeight="1" spans="1:13" x14ac:dyDescent="0.25">
      <c r="A63" s="122" t="s">
        <v>14</v>
      </c>
      <c r="B63" s="122"/>
      <c r="C63" s="114"/>
      <c r="D63" s="115">
        <f>C63*'Reference Tables'!D27</f>
        <v>0</v>
      </c>
      <c r="E63" s="116"/>
      <c r="F63" s="22">
        <f>IFERROR(D63/D65,0)</f>
        <v>0</v>
      </c>
      <c r="G63" s="123"/>
      <c r="H63" s="119"/>
      <c r="I63" s="119"/>
      <c r="J63" s="119"/>
      <c r="K63" s="119"/>
      <c r="L63" s="120"/>
      <c r="M63" s="121"/>
    </row>
    <row r="64" ht="15" customHeight="1" spans="1:13" x14ac:dyDescent="0.25">
      <c r="A64" s="122" t="s">
        <v>15</v>
      </c>
      <c r="B64" s="122"/>
      <c r="C64" s="114"/>
      <c r="D64" s="115">
        <f>C64*'Reference Tables'!F27</f>
        <v>0</v>
      </c>
      <c r="E64" s="116"/>
      <c r="F64" s="22">
        <f>IFERROR(D64/D65,0)</f>
        <v>0</v>
      </c>
      <c r="G64" s="123"/>
      <c r="H64" s="119"/>
      <c r="I64" s="119"/>
      <c r="J64" s="119"/>
      <c r="K64" s="119"/>
      <c r="L64" s="124"/>
      <c r="M64" s="120"/>
    </row>
    <row r="65" ht="15" customHeight="1" spans="1:13" x14ac:dyDescent="0.25">
      <c r="A65" s="125" t="s">
        <v>16</v>
      </c>
      <c r="B65" s="125"/>
      <c r="C65" s="126">
        <f>SUM(C62:C64)</f>
        <v>0</v>
      </c>
      <c r="D65" s="127">
        <f>SUM(D62:E64)</f>
        <v>0</v>
      </c>
      <c r="E65" s="128"/>
      <c r="F65" s="129">
        <f>SUM(F62:F64)</f>
        <v>0</v>
      </c>
      <c r="G65" s="130"/>
      <c r="H65" s="119"/>
      <c r="I65" s="119"/>
      <c r="J65" s="119"/>
      <c r="K65" s="119"/>
      <c r="L65" s="120"/>
      <c r="M65" s="121"/>
    </row>
    <row r="66" ht="15" customHeight="1" spans="1:13" x14ac:dyDescent="0.25">
      <c r="A66" s="131"/>
      <c r="H66" s="119"/>
      <c r="I66" s="119"/>
      <c r="J66" s="119"/>
      <c r="K66" s="119"/>
      <c r="L66" s="120"/>
      <c r="M66" s="121"/>
    </row>
    <row r="67" ht="16.35" customHeight="1" spans="1:13" x14ac:dyDescent="0.25">
      <c r="A67" s="132"/>
      <c r="B67" s="133" t="s">
        <v>65</v>
      </c>
      <c r="C67" s="4" t="s">
        <v>66</v>
      </c>
      <c r="D67" s="4"/>
      <c r="E67" s="134"/>
      <c r="F67" s="132"/>
      <c r="H67" s="119"/>
      <c r="I67" s="119"/>
      <c r="J67" s="119"/>
      <c r="K67" s="119"/>
      <c r="L67" s="124"/>
      <c r="M67" s="120"/>
    </row>
    <row r="68" ht="15" customHeight="1" spans="1:13" x14ac:dyDescent="0.25">
      <c r="A68" s="132"/>
      <c r="B68" s="135" t="s">
        <v>67</v>
      </c>
      <c r="C68" s="136"/>
      <c r="D68" s="136"/>
      <c r="E68" s="137"/>
      <c r="F68" s="132"/>
      <c r="G68" s="138"/>
      <c r="H68" s="119"/>
      <c r="I68" s="119"/>
      <c r="J68" s="119"/>
      <c r="K68" s="119"/>
      <c r="L68" s="120"/>
      <c r="M68" s="121"/>
    </row>
    <row r="69" ht="15" customHeight="1" spans="1:13" x14ac:dyDescent="0.25">
      <c r="A69" s="132"/>
      <c r="B69" s="135" t="s">
        <v>68</v>
      </c>
      <c r="C69" s="136"/>
      <c r="D69" s="136"/>
      <c r="E69" s="137"/>
      <c r="F69" s="132"/>
      <c r="G69" s="138"/>
      <c r="H69" s="119"/>
      <c r="I69" s="119"/>
      <c r="J69" s="119"/>
      <c r="K69" s="119"/>
      <c r="L69" s="120"/>
      <c r="M69" s="121"/>
    </row>
    <row r="70" ht="15" customHeight="1" spans="1:20" s="2" customFormat="1" x14ac:dyDescent="0.25">
      <c r="A70" s="132"/>
      <c r="B70" s="135" t="s">
        <v>69</v>
      </c>
      <c r="C70" s="136"/>
      <c r="D70" s="136"/>
      <c r="E70" s="137"/>
      <c r="F70" s="132"/>
      <c r="G70" s="139"/>
      <c r="H70" s="119"/>
      <c r="I70" s="119"/>
      <c r="J70" s="119"/>
      <c r="K70" s="119"/>
      <c r="L70" s="120"/>
      <c r="M70" s="121"/>
      <c r="O70" s="1"/>
      <c r="P70" s="1"/>
      <c r="Q70" s="1"/>
      <c r="R70" s="1"/>
      <c r="S70" s="1"/>
      <c r="T70" s="1"/>
    </row>
    <row r="71" ht="15" customHeight="1" spans="1:20" s="2" customFormat="1" x14ac:dyDescent="0.25">
      <c r="A71" s="132"/>
      <c r="B71" s="140"/>
      <c r="C71" s="132"/>
      <c r="D71" s="132"/>
      <c r="E71" s="132"/>
      <c r="F71" s="132"/>
      <c r="G71" s="139"/>
      <c r="H71" s="119"/>
      <c r="I71" s="119"/>
      <c r="J71" s="119"/>
      <c r="K71" s="119"/>
      <c r="L71" s="120"/>
      <c r="M71" s="121"/>
      <c r="O71" s="1"/>
      <c r="P71" s="1"/>
      <c r="Q71" s="1"/>
      <c r="R71" s="1"/>
      <c r="S71" s="1"/>
      <c r="T71" s="1"/>
    </row>
    <row r="72" ht="15" customHeight="1" spans="1:20" s="2" customFormat="1" x14ac:dyDescent="0.25">
      <c r="A72" s="132"/>
      <c r="B72" s="133" t="s">
        <v>70</v>
      </c>
      <c r="C72" s="4" t="s">
        <v>66</v>
      </c>
      <c r="D72" s="4"/>
      <c r="E72" s="134"/>
      <c r="F72" s="134"/>
      <c r="G72" s="139"/>
      <c r="H72" s="119"/>
      <c r="I72" s="119"/>
      <c r="J72" s="119"/>
      <c r="K72" s="119"/>
      <c r="L72" s="120"/>
      <c r="M72" s="121"/>
      <c r="O72" s="1"/>
      <c r="P72" s="1"/>
      <c r="Q72" s="1"/>
      <c r="R72" s="1"/>
      <c r="S72" s="1"/>
      <c r="T72" s="1"/>
    </row>
    <row r="73" ht="15" customHeight="1" spans="1:20" s="2" customFormat="1" x14ac:dyDescent="0.25">
      <c r="A73" s="132"/>
      <c r="B73" s="135" t="s">
        <v>71</v>
      </c>
      <c r="C73" s="136"/>
      <c r="D73" s="136"/>
      <c r="E73" s="137"/>
      <c r="F73" s="137"/>
      <c r="G73" s="139"/>
      <c r="H73" s="119"/>
      <c r="I73" s="119"/>
      <c r="J73" s="119"/>
      <c r="K73" s="119"/>
      <c r="L73" s="120"/>
      <c r="M73" s="121"/>
      <c r="O73" s="1"/>
      <c r="P73" s="1"/>
      <c r="Q73" s="1"/>
      <c r="R73" s="1"/>
      <c r="S73" s="1"/>
      <c r="T73" s="1"/>
    </row>
    <row r="74" ht="15" customHeight="1" spans="1:20" s="2" customFormat="1" x14ac:dyDescent="0.25">
      <c r="A74" s="132"/>
      <c r="B74" s="135" t="s">
        <v>72</v>
      </c>
      <c r="C74" s="136"/>
      <c r="D74" s="136"/>
      <c r="E74" s="137"/>
      <c r="F74" s="137"/>
      <c r="G74" s="141"/>
      <c r="H74" s="125" t="s">
        <v>73</v>
      </c>
      <c r="I74" s="125"/>
      <c r="J74" s="125"/>
      <c r="K74" s="125"/>
      <c r="L74" s="142">
        <f>SUM(L62:M73)</f>
        <v>0</v>
      </c>
      <c r="M74" s="142"/>
      <c r="O74" s="1"/>
      <c r="P74" s="1"/>
      <c r="Q74" s="1"/>
      <c r="R74" s="1"/>
      <c r="S74" s="1"/>
      <c r="T74" s="1"/>
    </row>
    <row r="75" ht="15" customHeight="1" spans="1:20" s="2" customFormat="1" x14ac:dyDescent="0.25">
      <c r="A75" s="132"/>
      <c r="B75" s="135" t="s">
        <v>74</v>
      </c>
      <c r="C75" s="136"/>
      <c r="D75" s="136"/>
      <c r="E75" s="137"/>
      <c r="F75" s="137"/>
      <c r="G75" s="1"/>
      <c r="O75" s="1"/>
      <c r="P75" s="1"/>
      <c r="Q75" s="1"/>
      <c r="R75" s="1"/>
      <c r="S75" s="1"/>
      <c r="T75" s="1"/>
    </row>
    <row r="76" ht="15" customHeight="1" spans="1:20" s="2" customFormat="1" x14ac:dyDescent="0.25">
      <c r="A76" s="132"/>
      <c r="B76" s="143" t="s">
        <v>75</v>
      </c>
      <c r="C76" s="136"/>
      <c r="D76" s="136"/>
      <c r="E76" s="137"/>
      <c r="F76" s="137"/>
      <c r="G76" s="1"/>
      <c r="H76" s="144" t="s">
        <v>76</v>
      </c>
      <c r="I76" s="145"/>
      <c r="J76" s="145"/>
      <c r="K76" s="146"/>
      <c r="L76" s="147">
        <f>SUM(L74+D65)</f>
        <v>0</v>
      </c>
      <c r="M76" s="148"/>
      <c r="O76" s="1"/>
      <c r="P76" s="1"/>
      <c r="Q76" s="1"/>
      <c r="R76" s="1"/>
      <c r="S76" s="1"/>
      <c r="T76" s="1"/>
    </row>
    <row r="77" ht="15" customHeight="1" spans="1:20" s="2" customFormat="1" x14ac:dyDescent="0.25">
      <c r="A77" s="132"/>
      <c r="B77" s="132"/>
      <c r="C77" s="132"/>
      <c r="D77" s="132"/>
      <c r="E77" s="132"/>
      <c r="F77" s="132"/>
      <c r="G77" s="1"/>
      <c r="H77" s="144" t="s">
        <v>77</v>
      </c>
      <c r="I77" s="145"/>
      <c r="J77" s="145"/>
      <c r="K77" s="146"/>
      <c r="L77" s="149">
        <f>IFERROR($L$76/C65,0)</f>
        <v>0</v>
      </c>
      <c r="M77" s="150"/>
      <c r="O77" s="1"/>
      <c r="P77" s="1"/>
      <c r="Q77" s="1"/>
      <c r="R77" s="1"/>
      <c r="S77" s="1"/>
      <c r="T77" s="1"/>
    </row>
    <row r="78" ht="15" customHeight="1" spans="1:20" s="2" customFormat="1" x14ac:dyDescent="0.25">
      <c r="A78" s="151" t="s">
        <v>78</v>
      </c>
      <c r="B78" s="132"/>
      <c r="C78" s="132"/>
      <c r="D78" s="132"/>
      <c r="E78" s="132"/>
      <c r="F78" s="132"/>
      <c r="G78" s="1"/>
      <c r="H78" s="47"/>
      <c r="I78" s="47"/>
      <c r="J78" s="47"/>
      <c r="K78" s="47"/>
      <c r="L78" s="152"/>
      <c r="M78" s="152"/>
      <c r="O78" s="1"/>
      <c r="P78" s="1"/>
      <c r="Q78" s="1"/>
      <c r="R78" s="1"/>
      <c r="S78" s="1"/>
      <c r="T78" s="1"/>
    </row>
    <row r="79" ht="15" customHeight="1" spans="1:20" s="2" customFormat="1" x14ac:dyDescent="0.25">
      <c r="A79" s="153"/>
      <c r="B79" s="153"/>
      <c r="C79" s="153"/>
      <c r="D79" s="153"/>
      <c r="E79" s="153"/>
      <c r="F79" s="153"/>
      <c r="G79" s="153"/>
      <c r="H79" s="153"/>
      <c r="I79" s="153"/>
      <c r="J79" s="153"/>
      <c r="K79" s="153"/>
      <c r="L79" s="153"/>
      <c r="M79" s="153"/>
      <c r="O79" s="1"/>
      <c r="P79" s="1"/>
      <c r="Q79" s="1"/>
      <c r="R79" s="1"/>
      <c r="S79" s="1"/>
      <c r="T79" s="1"/>
    </row>
    <row r="80" ht="15" customHeight="1" spans="1:20" s="2" customFormat="1" x14ac:dyDescent="0.25">
      <c r="A80" s="153"/>
      <c r="B80" s="153"/>
      <c r="C80" s="153"/>
      <c r="D80" s="153"/>
      <c r="E80" s="153"/>
      <c r="F80" s="153"/>
      <c r="G80" s="153"/>
      <c r="H80" s="153"/>
      <c r="I80" s="153"/>
      <c r="J80" s="153"/>
      <c r="K80" s="153"/>
      <c r="L80" s="153"/>
      <c r="M80" s="153"/>
      <c r="O80" s="1"/>
      <c r="P80" s="1"/>
      <c r="Q80" s="1"/>
      <c r="R80" s="1"/>
      <c r="S80" s="1"/>
      <c r="T80" s="1"/>
    </row>
    <row r="81" ht="15" customHeight="1" spans="1:20" s="2" customFormat="1" x14ac:dyDescent="0.25">
      <c r="A81" s="153"/>
      <c r="B81" s="153"/>
      <c r="C81" s="153"/>
      <c r="D81" s="153"/>
      <c r="E81" s="153"/>
      <c r="F81" s="153"/>
      <c r="G81" s="153"/>
      <c r="H81" s="153"/>
      <c r="I81" s="153"/>
      <c r="J81" s="153"/>
      <c r="K81" s="153"/>
      <c r="L81" s="153"/>
      <c r="M81" s="153"/>
      <c r="O81" s="1"/>
      <c r="P81" s="1"/>
      <c r="Q81" s="1"/>
      <c r="R81" s="1"/>
      <c r="S81" s="1"/>
      <c r="T81" s="1"/>
    </row>
    <row r="82" ht="7.5" customHeight="1" spans="1:20" s="2" customFormat="1" x14ac:dyDescent="0.25">
      <c r="A82" s="1"/>
      <c r="F82" s="154"/>
      <c r="G82" s="154"/>
      <c r="M82" s="1"/>
      <c r="O82" s="1"/>
      <c r="P82" s="1"/>
      <c r="Q82" s="1"/>
      <c r="R82" s="1"/>
      <c r="S82" s="1"/>
      <c r="T82" s="1"/>
    </row>
    <row r="83" ht="21" customHeight="1" spans="1:14" s="6" customFormat="1" x14ac:dyDescent="0.25">
      <c r="A83" s="7" t="s">
        <v>79</v>
      </c>
      <c r="B83" s="7"/>
      <c r="C83" s="7"/>
      <c r="D83" s="7"/>
      <c r="E83" s="7"/>
      <c r="F83" s="7"/>
      <c r="G83" s="7"/>
      <c r="H83" s="7"/>
      <c r="I83" s="7"/>
      <c r="J83" s="7"/>
      <c r="K83" s="7"/>
      <c r="L83" s="7"/>
      <c r="M83" s="7"/>
      <c r="N83" s="8"/>
    </row>
    <row r="84" ht="19.35" customHeight="1" spans="1:13" x14ac:dyDescent="0.25">
      <c r="A84" s="155" t="s">
        <v>80</v>
      </c>
      <c r="B84" s="155"/>
      <c r="C84" s="155"/>
      <c r="D84" s="155"/>
      <c r="E84" s="155"/>
      <c r="F84" s="155"/>
      <c r="G84" s="155"/>
      <c r="H84" s="155"/>
      <c r="I84" s="155"/>
      <c r="J84" s="155"/>
      <c r="K84" s="155"/>
      <c r="L84" s="155"/>
      <c r="M84" s="155"/>
    </row>
    <row r="85" ht="7.35" customHeight="1" spans="1:13" x14ac:dyDescent="0.25">
      <c r="A85" s="155"/>
      <c r="B85" s="155"/>
      <c r="C85" s="155"/>
      <c r="D85" s="155"/>
      <c r="E85" s="155"/>
      <c r="F85" s="155"/>
      <c r="G85" s="155"/>
      <c r="H85" s="155"/>
      <c r="I85" s="155"/>
      <c r="J85" s="155"/>
      <c r="K85" s="155"/>
      <c r="L85" s="155"/>
      <c r="M85" s="155"/>
    </row>
    <row r="86" ht="15" customHeight="1" spans="1:13" x14ac:dyDescent="0.25">
      <c r="A86" s="156" t="s">
        <v>81</v>
      </c>
      <c r="B86" s="76"/>
      <c r="C86" s="76"/>
      <c r="D86" s="157"/>
      <c r="E86" s="157"/>
      <c r="F86" s="156" t="s">
        <v>5</v>
      </c>
      <c r="G86" s="156"/>
      <c r="H86" s="156"/>
      <c r="I86" s="157"/>
      <c r="J86" s="156" t="s">
        <v>82</v>
      </c>
      <c r="K86" s="156"/>
      <c r="L86" s="156"/>
      <c r="M86" s="156"/>
    </row>
    <row r="87" ht="15" customHeight="1" spans="1:14" s="47" customFormat="1" x14ac:dyDescent="0.25">
      <c r="A87" s="144" t="s">
        <v>13</v>
      </c>
      <c r="B87" s="125" t="s">
        <v>14</v>
      </c>
      <c r="C87" s="125" t="s">
        <v>15</v>
      </c>
      <c r="D87" s="53"/>
      <c r="E87" s="53"/>
      <c r="F87" s="125" t="s">
        <v>83</v>
      </c>
      <c r="G87" s="125" t="s">
        <v>84</v>
      </c>
      <c r="H87" s="125"/>
      <c r="I87" s="53"/>
      <c r="J87" s="144" t="s">
        <v>85</v>
      </c>
      <c r="K87" s="146"/>
      <c r="L87" s="144" t="s">
        <v>56</v>
      </c>
      <c r="M87" s="146"/>
      <c r="N87" s="158"/>
    </row>
    <row r="88" ht="15" customHeight="1" spans="1:13" x14ac:dyDescent="0.25">
      <c r="A88" s="159">
        <f>C62-C14</f>
        <v>0</v>
      </c>
      <c r="B88" s="159">
        <f>C63-D14</f>
        <v>0</v>
      </c>
      <c r="C88" s="159">
        <f>C64-F14</f>
        <v>0</v>
      </c>
      <c r="D88" s="157"/>
      <c r="E88" s="157"/>
      <c r="F88" s="159">
        <f>L76-H10</f>
        <v>0</v>
      </c>
      <c r="G88" s="160">
        <f>L77-M14</f>
        <v>0</v>
      </c>
      <c r="H88" s="113"/>
      <c r="I88" s="157"/>
      <c r="J88" s="161">
        <f>J52-M11</f>
        <v>0</v>
      </c>
      <c r="K88" s="162"/>
      <c r="L88" s="163">
        <f>L52-M12</f>
        <v>0</v>
      </c>
      <c r="M88" s="113"/>
    </row>
    <row r="89" ht="15" customHeight="1" spans="1:13" x14ac:dyDescent="0.25">
      <c r="A89" s="51"/>
      <c r="B89" s="51"/>
      <c r="C89" s="51"/>
      <c r="D89" s="157"/>
      <c r="E89" s="157"/>
      <c r="F89" s="51"/>
      <c r="G89" s="164"/>
      <c r="H89" s="157"/>
      <c r="I89" s="157"/>
      <c r="J89" s="165"/>
      <c r="K89" s="157"/>
      <c r="L89" s="165"/>
      <c r="M89" s="157"/>
    </row>
    <row r="90" ht="15" customHeight="1" spans="1:14" x14ac:dyDescent="0.25">
      <c r="A90" s="51"/>
      <c r="B90" s="141" t="s">
        <v>86</v>
      </c>
      <c r="C90" s="104">
        <f>(J52*4)-(M11*4)</f>
        <v>0</v>
      </c>
      <c r="D90" s="157"/>
      <c r="E90" s="157"/>
      <c r="F90" s="51"/>
      <c r="H90" s="166" t="s">
        <v>87</v>
      </c>
      <c r="I90" s="104">
        <f>C90+A41</f>
        <v>0</v>
      </c>
      <c r="J90" s="2"/>
      <c r="L90" s="167"/>
      <c r="N90" s="1"/>
    </row>
    <row r="91" ht="15" customHeight="1" spans="6:8" x14ac:dyDescent="0.25">
      <c r="F91" s="42"/>
      <c r="G91" s="42"/>
      <c r="H91" s="42"/>
    </row>
    <row r="99" ht="15" customHeight="1" hidden="1" x14ac:dyDescent="0.25"/>
    <row r="100" ht="14.85" customHeight="1" hidden="1" spans="3:14" x14ac:dyDescent="0.25">
      <c r="C100" s="47" t="s">
        <v>88</v>
      </c>
      <c r="H100" s="47" t="s">
        <v>89</v>
      </c>
      <c r="L100" s="47" t="s">
        <v>90</v>
      </c>
      <c r="M100" s="47"/>
      <c r="N100" s="2" t="s">
        <v>91</v>
      </c>
    </row>
    <row r="101" ht="14.85" customHeight="1" hidden="1" spans="3:13" x14ac:dyDescent="0.25">
      <c r="C101" s="47"/>
      <c r="H101" s="47"/>
      <c r="L101" s="47"/>
      <c r="M101" s="47"/>
    </row>
    <row r="102" ht="14.85" customHeight="1" hidden="1" spans="3:14" x14ac:dyDescent="0.25">
      <c r="C102" s="1" t="s">
        <v>92</v>
      </c>
      <c r="H102" s="1" t="s">
        <v>93</v>
      </c>
      <c r="M102" s="168"/>
      <c r="N102" s="2" t="s">
        <v>94</v>
      </c>
    </row>
    <row r="103" ht="14.85" customHeight="1" hidden="1" spans="3:14" x14ac:dyDescent="0.25">
      <c r="C103" s="1" t="s">
        <v>95</v>
      </c>
      <c r="H103" s="1" t="s">
        <v>96</v>
      </c>
      <c r="M103" s="168"/>
      <c r="N103" s="2" t="s">
        <v>97</v>
      </c>
    </row>
    <row r="104" ht="14.85" customHeight="1" hidden="1" spans="3:13" x14ac:dyDescent="0.25">
      <c r="C104" s="169" t="s">
        <v>98</v>
      </c>
      <c r="H104" s="1" t="s">
        <v>99</v>
      </c>
      <c r="L104" s="1" t="s">
        <v>100</v>
      </c>
      <c r="M104" s="168"/>
    </row>
    <row r="105" ht="14.85" customHeight="1" hidden="1" spans="3:14" x14ac:dyDescent="0.25">
      <c r="C105" s="169" t="s">
        <v>101</v>
      </c>
      <c r="H105" s="1" t="s">
        <v>102</v>
      </c>
      <c r="L105" s="1" t="s">
        <v>103</v>
      </c>
      <c r="M105" s="168"/>
      <c r="N105" s="2" t="s">
        <v>104</v>
      </c>
    </row>
    <row r="106" ht="14.85" customHeight="1" hidden="1" spans="3:13" x14ac:dyDescent="0.25">
      <c r="C106" s="169" t="s">
        <v>105</v>
      </c>
      <c r="H106" s="1" t="s">
        <v>106</v>
      </c>
      <c r="L106" s="1" t="s">
        <v>107</v>
      </c>
      <c r="M106" s="168"/>
    </row>
    <row r="107" ht="14.85" customHeight="1" hidden="1" spans="3:14" x14ac:dyDescent="0.25">
      <c r="C107" s="169" t="s">
        <v>108</v>
      </c>
      <c r="L107" s="1" t="s">
        <v>109</v>
      </c>
      <c r="M107" s="168"/>
      <c r="N107" s="170" t="s">
        <v>110</v>
      </c>
    </row>
    <row r="108" ht="14.85" customHeight="1" hidden="1" spans="3:14" x14ac:dyDescent="0.25">
      <c r="C108" s="169" t="s">
        <v>111</v>
      </c>
      <c r="N108" s="170" t="s">
        <v>112</v>
      </c>
    </row>
    <row r="109" ht="14.85" customHeight="1" hidden="1" spans="3:14" x14ac:dyDescent="0.25">
      <c r="C109" s="169" t="s">
        <v>113</v>
      </c>
      <c r="N109" s="170" t="s">
        <v>114</v>
      </c>
    </row>
    <row r="110" ht="14.85" customHeight="1" hidden="1" spans="3:14" x14ac:dyDescent="0.25">
      <c r="C110" s="1" t="s">
        <v>115</v>
      </c>
      <c r="N110" s="170" t="s">
        <v>116</v>
      </c>
    </row>
    <row r="111" ht="14.85" customHeight="1" hidden="1" spans="3:3" x14ac:dyDescent="0.25">
      <c r="C111" s="169" t="s">
        <v>117</v>
      </c>
    </row>
    <row r="112" ht="14.85" customHeight="1" hidden="1" spans="3:3" x14ac:dyDescent="0.25">
      <c r="C112" s="169" t="s">
        <v>118</v>
      </c>
    </row>
    <row r="113" ht="14.85" customHeight="1" hidden="1" spans="3:3" x14ac:dyDescent="0.25">
      <c r="C113" s="169" t="s">
        <v>119</v>
      </c>
    </row>
    <row r="114" ht="14.85" customHeight="1" hidden="1" spans="3:3" x14ac:dyDescent="0.25">
      <c r="C114" s="169" t="s">
        <v>120</v>
      </c>
    </row>
    <row r="115" ht="14.85" customHeight="1" hidden="1" spans="3:3" x14ac:dyDescent="0.25">
      <c r="C115" s="169" t="s">
        <v>121</v>
      </c>
    </row>
    <row r="116" ht="14.85" customHeight="1" hidden="1" spans="3:3" x14ac:dyDescent="0.25">
      <c r="C116" s="169" t="s">
        <v>122</v>
      </c>
    </row>
    <row r="117" ht="14.85" customHeight="1" hidden="1" spans="3:3" x14ac:dyDescent="0.25">
      <c r="C117" s="169" t="s">
        <v>123</v>
      </c>
    </row>
    <row r="118" ht="14.85" customHeight="1" hidden="1" spans="3:3" x14ac:dyDescent="0.25">
      <c r="C118" s="169" t="s">
        <v>124</v>
      </c>
    </row>
    <row r="119" ht="14.85" customHeight="1" hidden="1" spans="3:3" x14ac:dyDescent="0.25">
      <c r="C119" s="169" t="s">
        <v>125</v>
      </c>
    </row>
    <row r="120" ht="14.85" customHeight="1" hidden="1" spans="3:3" x14ac:dyDescent="0.25">
      <c r="C120" s="169" t="s">
        <v>126</v>
      </c>
    </row>
    <row r="121" ht="14.85" customHeight="1" hidden="1" spans="3:3" x14ac:dyDescent="0.25">
      <c r="C121" s="169" t="s">
        <v>127</v>
      </c>
    </row>
    <row r="122" ht="14.85" customHeight="1" hidden="1" spans="11:11" x14ac:dyDescent="0.25">
      <c r="K122" s="1" t="s">
        <v>128</v>
      </c>
    </row>
    <row r="123" ht="14.85" customHeight="1" hidden="1" spans="11:11" x14ac:dyDescent="0.25">
      <c r="K123" s="1" t="s">
        <v>129</v>
      </c>
    </row>
    <row r="124" ht="14.85" customHeight="1" hidden="1" x14ac:dyDescent="0.25"/>
    <row r="125" ht="14.85" customHeight="1" hidden="1" x14ac:dyDescent="0.25"/>
    <row r="126" ht="15" customHeight="1" hidden="1" x14ac:dyDescent="0.25"/>
    <row r="127" ht="15" customHeight="1" hidden="1" x14ac:dyDescent="0.25"/>
  </sheetData>
  <sheetProtection sheet="1" algorithmName="SHA-512" hashValue="5tOw8QRkLS2LkB6oSJvsmbDbBfUIqX7Gl9BxBxqqPGA9h34VfrrS+UKBaV3XvJ9u+NhdRNyvNmRdYeoZHEBSUA==" saltValue="SelVIwEEbrezIP9AhUqr/w==" spinCount="100000" objects="1" scenarios="1"/>
  <mergeCells count="129">
    <mergeCell ref="A1:M1"/>
    <mergeCell ref="C2:M2"/>
    <mergeCell ref="A3:M3"/>
    <mergeCell ref="A5:M5"/>
    <mergeCell ref="D7:E7"/>
    <mergeCell ref="L7:M7"/>
    <mergeCell ref="D8:E8"/>
    <mergeCell ref="L8:M8"/>
    <mergeCell ref="D9:E9"/>
    <mergeCell ref="L9:M9"/>
    <mergeCell ref="K12:L13"/>
    <mergeCell ref="A13:B13"/>
    <mergeCell ref="D13:E13"/>
    <mergeCell ref="G13:H13"/>
    <mergeCell ref="M12:M13"/>
    <mergeCell ref="A14:B14"/>
    <mergeCell ref="D14:E14"/>
    <mergeCell ref="G14:H14"/>
    <mergeCell ref="K14:L15"/>
    <mergeCell ref="G15:H15"/>
    <mergeCell ref="M14:M15"/>
    <mergeCell ref="A17:M17"/>
    <mergeCell ref="D19:E19"/>
    <mergeCell ref="D20:E20"/>
    <mergeCell ref="D21:E21"/>
    <mergeCell ref="A22:B22"/>
    <mergeCell ref="A23:M23"/>
    <mergeCell ref="A24:M24"/>
    <mergeCell ref="D25:F25"/>
    <mergeCell ref="J25:L25"/>
    <mergeCell ref="D26:F26"/>
    <mergeCell ref="J26:L26"/>
    <mergeCell ref="D27:F27"/>
    <mergeCell ref="J27:L27"/>
    <mergeCell ref="D28:F28"/>
    <mergeCell ref="J28:L28"/>
    <mergeCell ref="J29:L29"/>
    <mergeCell ref="A32:M36"/>
    <mergeCell ref="A38:M38"/>
    <mergeCell ref="A39:M39"/>
    <mergeCell ref="A40:B40"/>
    <mergeCell ref="D40:E40"/>
    <mergeCell ref="G40:H40"/>
    <mergeCell ref="A41:B41"/>
    <mergeCell ref="D41:E41"/>
    <mergeCell ref="G41:H41"/>
    <mergeCell ref="A43:M45"/>
    <mergeCell ref="A47:M48"/>
    <mergeCell ref="A49:M49"/>
    <mergeCell ref="A50:B50"/>
    <mergeCell ref="C50:D51"/>
    <mergeCell ref="E50:F51"/>
    <mergeCell ref="G50:H51"/>
    <mergeCell ref="J50:K51"/>
    <mergeCell ref="L50:M51"/>
    <mergeCell ref="A51:B51"/>
    <mergeCell ref="I50:I51"/>
    <mergeCell ref="A52:B52"/>
    <mergeCell ref="C52:D52"/>
    <mergeCell ref="E52:F52"/>
    <mergeCell ref="G52:H52"/>
    <mergeCell ref="J52:K52"/>
    <mergeCell ref="L52:M52"/>
    <mergeCell ref="A55:M55"/>
    <mergeCell ref="A56:M59"/>
    <mergeCell ref="A61:B61"/>
    <mergeCell ref="D61:E61"/>
    <mergeCell ref="H61:K61"/>
    <mergeCell ref="L61:M61"/>
    <mergeCell ref="A62:B62"/>
    <mergeCell ref="D62:E62"/>
    <mergeCell ref="H62:K62"/>
    <mergeCell ref="L62:M62"/>
    <mergeCell ref="A63:B63"/>
    <mergeCell ref="D63:E63"/>
    <mergeCell ref="H63:K63"/>
    <mergeCell ref="L63:M63"/>
    <mergeCell ref="A64:B64"/>
    <mergeCell ref="D64:E64"/>
    <mergeCell ref="H64:K64"/>
    <mergeCell ref="L64:M64"/>
    <mergeCell ref="A65:B65"/>
    <mergeCell ref="D65:E65"/>
    <mergeCell ref="H65:K65"/>
    <mergeCell ref="L65:M65"/>
    <mergeCell ref="H66:K66"/>
    <mergeCell ref="L66:M66"/>
    <mergeCell ref="C67:D67"/>
    <mergeCell ref="H67:K67"/>
    <mergeCell ref="L67:M67"/>
    <mergeCell ref="C68:D68"/>
    <mergeCell ref="H68:K68"/>
    <mergeCell ref="L68:M68"/>
    <mergeCell ref="C69:D69"/>
    <mergeCell ref="H69:K69"/>
    <mergeCell ref="L69:M69"/>
    <mergeCell ref="C70:D70"/>
    <mergeCell ref="H70:K70"/>
    <mergeCell ref="L70:M70"/>
    <mergeCell ref="H71:K71"/>
    <mergeCell ref="L71:M71"/>
    <mergeCell ref="C72:D72"/>
    <mergeCell ref="H72:K72"/>
    <mergeCell ref="L72:M72"/>
    <mergeCell ref="C73:D73"/>
    <mergeCell ref="H73:K73"/>
    <mergeCell ref="L73:M73"/>
    <mergeCell ref="C74:D74"/>
    <mergeCell ref="H74:K74"/>
    <mergeCell ref="L74:M74"/>
    <mergeCell ref="C75:D75"/>
    <mergeCell ref="C76:D76"/>
    <mergeCell ref="H76:K76"/>
    <mergeCell ref="L76:M76"/>
    <mergeCell ref="H77:K77"/>
    <mergeCell ref="L77:M77"/>
    <mergeCell ref="A79:M81"/>
    <mergeCell ref="A83:M83"/>
    <mergeCell ref="A84:M84"/>
    <mergeCell ref="A86:C86"/>
    <mergeCell ref="F86:H86"/>
    <mergeCell ref="J86:M86"/>
    <mergeCell ref="G87:H87"/>
    <mergeCell ref="J87:K87"/>
    <mergeCell ref="L87:M87"/>
    <mergeCell ref="G88:H88"/>
    <mergeCell ref="J88:K88"/>
    <mergeCell ref="L88:M88"/>
    <mergeCell ref="F91:G91"/>
  </mergeCells>
  <conditionalFormatting sqref="H11">
    <cfRule type="cellIs" dxfId="0" priority="1" operator="lessThan">
      <formula>0</formula>
    </cfRule>
  </conditionalFormatting>
  <dataValidations count="3">
    <dataValidation type="list" allowBlank="1" showInputMessage="1" showErrorMessage="1" sqref="D25">
      <formula1>$N$101:$N$103</formula1>
    </dataValidation>
    <dataValidation type="list" allowBlank="1" showInputMessage="1" showErrorMessage="1" sqref="D27:D28">
      <formula1>$C$101:$C$121</formula1>
    </dataValidation>
    <dataValidation type="list" allowBlank="1" showInputMessage="1" showErrorMessage="1" sqref="J29">
      <formula1>$K$99:$K$123</formula1>
    </dataValidation>
  </dataValidations>
  <hyperlinks>
    <hyperlink ref="A50" r:id="rId1"/>
  </hyperlinks>
  <pageMargins left="1.0929924242424243" right="0.7" top="0.75" bottom="0.75" header="0" footer="0.3"/>
  <pageSetup orientation="portrait" horizontalDpi="4294967295" verticalDpi="4294967295" scale="49" fitToWidth="1" fitToHeight="0" firstPageNumber="1" useFirstPageNumber="1" copies="1"/>
  <headerFooter>
    <oddHeader>&amp;C&amp;"Arial,Regular"&amp;50&amp;KFF0000
</oddHeader>
    <oddFooter>&amp;CPage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6B53E539D5B1C4CA7ABA00740FEF7CA" ma:contentTypeVersion="12" ma:contentTypeDescription="Create a new document." ma:contentTypeScope="" ma:versionID="40f0642bae8a91061209ef5aee89f58f">
  <xsd:schema xmlns:xsd="http://www.w3.org/2001/XMLSchema" xmlns:xs="http://www.w3.org/2001/XMLSchema" xmlns:p="http://schemas.microsoft.com/office/2006/metadata/properties" xmlns:ns1="http://schemas.microsoft.com/sharepoint/v3" xmlns:ns2="6002149f-16de-42e3-a77d-c43d7fc58d4a" xmlns:ns3="23c9f41d-9e08-4033-8140-6b8b934810eb" targetNamespace="http://schemas.microsoft.com/office/2006/metadata/properties" ma:root="true" ma:fieldsID="23bbd7198d85b2b1d210d3b0b667542e" ns1:_="" ns2:_="" ns3:_="">
    <xsd:import namespace="http://schemas.microsoft.com/sharepoint/v3"/>
    <xsd:import namespace="6002149f-16de-42e3-a77d-c43d7fc58d4a"/>
    <xsd:import namespace="23c9f41d-9e08-4033-8140-6b8b934810e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1:_ip_UnifiedCompliancePolicyProperties" minOccurs="0"/>
                <xsd:element ref="ns1:_ip_UnifiedCompliancePolicyUIAction"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002149f-16de-42e3-a77d-c43d7fc58d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3c9f41d-9e08-4033-8140-6b8b934810e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A5A2CD-1214-49A9-BA4F-8DFCE4CF914A}">
  <ds:schemaRefs>
    <ds:schemaRef ds:uri="http://purl.org/dc/dcmitype/"/>
    <ds:schemaRef ds:uri="http://purl.org/dc/terms/"/>
    <ds:schemaRef ds:uri="http://schemas.microsoft.com/office/2006/documentManagement/types"/>
    <ds:schemaRef ds:uri="http://schemas.microsoft.com/sharepoint/v3"/>
    <ds:schemaRef ds:uri="http://www.w3.org/XML/1998/namespace"/>
    <ds:schemaRef ds:uri="23c9f41d-9e08-4033-8140-6b8b934810eb"/>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6002149f-16de-42e3-a77d-c43d7fc58d4a"/>
  </ds:schemaRefs>
</ds:datastoreItem>
</file>

<file path=customXml/itemProps2.xml><?xml version="1.0" encoding="utf-8"?>
<ds:datastoreItem xmlns:ds="http://schemas.openxmlformats.org/officeDocument/2006/customXml" ds:itemID="{1573922B-9780-48CC-830F-67D76F26D2F9}">
  <ds:schemaRefs>
    <ds:schemaRef ds:uri="http://schemas.microsoft.com/sharepoint/v3/contenttype/forms"/>
  </ds:schemaRefs>
</ds:datastoreItem>
</file>

<file path=customXml/itemProps3.xml><?xml version="1.0" encoding="utf-8"?>
<ds:datastoreItem xmlns:ds="http://schemas.openxmlformats.org/officeDocument/2006/customXml" ds:itemID="{30B95DD1-035F-4418-8ECC-E867EAC816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002149f-16de-42e3-a77d-c43d7fc58d4a"/>
    <ds:schemaRef ds:uri="23c9f41d-9e08-4033-8140-6b8b934810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DP Addendum</vt:lpstr>
      <vt:lpstr>Reference Tables</vt:lpstr>
    </vt:vector>
  </TitlesOfParts>
  <Company>Washington Technology Solutions</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 Van (OFM)</dc:creator>
  <dc:title/>
  <dc:subject/>
  <dc:description/>
  <cp:keywords/>
  <cp:category/>
  <cp:lastModifiedBy>Gobeille, Krista (OFM)</cp:lastModifiedBy>
  <cp:contentStatus/>
  <dcterms:created xsi:type="dcterms:W3CDTF">2019-10-10T17:56:49Z</dcterms:created>
  <dcterms:modified xsi:type="dcterms:W3CDTF">2026-05-22T17:12:09Z</dcterms:modified>
</cp:coreProperties>
</file>