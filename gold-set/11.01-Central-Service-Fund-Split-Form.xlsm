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connections.xml" ContentType="application/vnd.openxmlformats-officedocument.spreadsheetml.connection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0" yWindow="-120" windowWidth="29040" windowHeight="15720"/>
  </bookViews>
  <sheets>
    <sheet sheetId="3" name="FundSplits" state="visible" r:id="rId4"/>
    <sheet sheetId="2" name="ActiveFunds" state="hidden" r:id="rId5"/>
  </sheets>
  <definedNames>
    <definedName name="_xlnm._FilterDatabase">FundSplits!$A$6:$S$380</definedName>
    <definedName name="Agency">FundSplits!$D$1</definedName>
    <definedName name="AgencyFundList">ActiveFunds!$B$4:$B$863</definedName>
    <definedName name="AgencyList">ActiveFunds!$I$4:$I$110</definedName>
    <definedName name="AgyChoice">FundSplits!$A$1</definedName>
    <definedName name="AgyCode">FundSplits!$B$1</definedName>
    <definedName name="AgySubprogram">ActiveFunds!$X$4:$X$20</definedName>
    <definedName name="clallam_Oversight_ActiveFunds">ActiveFunds!$C$3:$D$863</definedName>
    <definedName name="clallam_Titles_Entity">ActiveFunds!$O$3:$S$78</definedName>
    <definedName name="Clear">FundSplits!$A$8:$S$4979</definedName>
    <definedName name="Formulas">FundSplits!$A$5:$E$5</definedName>
    <definedName name="FundList">ActiveFunds!$L$4:$L$456</definedName>
    <definedName name="pgmcheck">ActiveFunds!$Q$2</definedName>
    <definedName name="pgmComment">FundSplits!$G$6</definedName>
    <definedName name="Start">FundSplits!$A$6</definedName>
    <definedName name="SubProgList">ActiveFunds!$X$3:$X$5</definedName>
  </definedNames>
  <calcPr calcId="171027" fullCalcOnLoad="1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lallam Oversight ActiveFunds" type="5" refreshedVersion="5" background="1" saveData="1">
    <dbPr connection="Provider=SQLOLEDB.1;Integrated Security=SSPI;Persist Security Info=True;Initial Catalog=Oversight;Data Source=Clallam;Use Procedure for Prepare=1;Auto Translate=True;Packet Size=4096;Workstation ID=LEGFELTUS-KE3;Use Encryption for Data=False;Tag with column collation when possible=False" command="SELECT DISTINCT Expenditure.Agency+'-'+rtrim(Agency.Title35) AS 'Agency', Fund.Fund+'-'+AppropType.AppropType+' '+rtrim(Fund.Title35)+'-'+rtrim(AppropType.Title35) AS 'Fund'_x000d__x000a_FROM Titles.dbo.Agency Agency, Titles.dbo.AppropType AppropType, Oversight.dbo.Expenditure, Titles.dbo.Fund Fund_x000d__x000a_WHERE Expenditure.Agency = Agency.Agency _x000d__x000a_And agency.biennium = '2015-17'_x000d__x000a_AND Expenditure.AppropType = AppropType.AppropType _x000d__x000a_AND Expenditure.Fund = Fund.Fund_x000d__x000a_and Fund.Biennium &gt;= '2015-17'_x000d__x000a_and Fund.Biennium = expenditure.Biennium_x000d__x000a_and expenditure.agency = agency.Agency_x000d__x000a_and expenditure.biennium &gt;= '2015-17'_x000d__x000a_and AppropType.SystemCode = 'm'_x000d__x000a_and fund.inactiveflag = 0_x000d__x000a_and fund.fund not in ('290', '057')_x000d__x000a_and expenditure.appropriationcharacter &lt;&gt; 'c'_x000d__x000a_and agency.agency not in ('010', '076')_x000d__x000a_and agency.agency &lt; '700'_x000d__x000a_ORDER BY  Fund.Fund+'-'+AppropType.AppropType+' '+rtrim(Fund.Title35)+'-'+rtrim(AppropType.Title35)"/>
  </connection>
  <connection id="2" xr16:uid="{00000000-0015-0000-FFFF-FFFF01000000}" keepAlive="1" name="clallam Titles Entity" type="5" refreshedVersion="5" background="1" saveData="1">
    <dbPr connection="Provider=SQLOLEDB.1;Integrated Security=SSPI;Persist Security Info=True;Initial Catalog=Titles;Data Source=clallam;Use Procedure for Prepare=1;Auto Translate=True;Packet Size=4096;Workstation ID=LEGFELTUS-KE3;Use Encryption for Data=False;Tag with column collation when possible=False" command="SELECT [Agency]_x000d__x000a_      ,[Program]_x000d__x000a_      ,[BudgetType]_x000d__x000a_      ,[SummFlag]_x000d__x000a_      ,[ProgramTitle60]_x000d__x000a_  FROM [Titles].[dbo].[Entity]_x000d__x000a_  where biennium = '2015-17'_x000d__x000a__x0009_and program &lt;&gt; ''_x000d__x000a__x0009_and agency not in ('010', '740','225','465')_x000d__x000a__x0009_and agency+program not in ('405I1C', '405I2C', '405I3C', '405I4C', '405I5C', '405I7C', '405P1C', '405I1C', '405P2C', '405P3C', '405P4C', '405P5C') _x000d__x000a__x0009_and right(program,1) &lt;&gt; 'c'_x000d__x000a__x0009_and subprogram = ''"/>
  </connection>
</connections>
</file>

<file path=xl/sharedStrings.xml><?xml version="1.0" encoding="utf-8"?>
<sst xmlns="http://schemas.openxmlformats.org/spreadsheetml/2006/main" count="5681" uniqueCount="1496">
  <si>
    <t>Central Service Fund Splits</t>
  </si>
  <si>
    <t>DuplicateCheck</t>
  </si>
  <si>
    <t>All Columns by Agency must equal 100%</t>
  </si>
  <si>
    <t>Agency Code</t>
  </si>
  <si>
    <t>Program Code</t>
  </si>
  <si>
    <t>Subprogram Code</t>
  </si>
  <si>
    <t>Account</t>
  </si>
  <si>
    <t>AppType</t>
  </si>
  <si>
    <t>Agency</t>
  </si>
  <si>
    <t>Program</t>
  </si>
  <si>
    <t>Subprogram (DSHS P030 &amp; P040)</t>
  </si>
  <si>
    <t>Account and Approp Title</t>
  </si>
  <si>
    <t>Auditor</t>
  </si>
  <si>
    <t>AttGen</t>
  </si>
  <si>
    <t>OAH</t>
  </si>
  <si>
    <t>Facilities &amp; Services Only</t>
  </si>
  <si>
    <t>WaTech</t>
  </si>
  <si>
    <t xml:space="preserve">Debt Services </t>
  </si>
  <si>
    <t>Workers' Comp</t>
  </si>
  <si>
    <t>All Other</t>
  </si>
  <si>
    <t>Risk Mgmt Division</t>
  </si>
  <si>
    <t>Self Insurance</t>
  </si>
  <si>
    <t>Percent Totals (only applies when one agency chosen)</t>
  </si>
  <si>
    <t>011</t>
  </si>
  <si>
    <t/>
  </si>
  <si>
    <t>001</t>
  </si>
  <si>
    <t>1</t>
  </si>
  <si>
    <t>011-House of Representatives</t>
  </si>
  <si>
    <t>001-1 General Fund-State</t>
  </si>
  <si>
    <t>012</t>
  </si>
  <si>
    <t>012-Senate</t>
  </si>
  <si>
    <t>013</t>
  </si>
  <si>
    <t>108</t>
  </si>
  <si>
    <t>013-Joint Transportation Committee</t>
  </si>
  <si>
    <t>108-1 Motor Vehicle Account-State</t>
  </si>
  <si>
    <t>014</t>
  </si>
  <si>
    <t>553</t>
  </si>
  <si>
    <t>014-Jt Leg Audit &amp; Review Committee</t>
  </si>
  <si>
    <t>553-1 Performance Audits of Govt Acct-State</t>
  </si>
  <si>
    <t>020</t>
  </si>
  <si>
    <t>020-LEAP Committee</t>
  </si>
  <si>
    <t>035</t>
  </si>
  <si>
    <t>600</t>
  </si>
  <si>
    <t>035-Office of the State Actuary</t>
  </si>
  <si>
    <t>600-1 Dept of Retirement Systems Expense-State</t>
  </si>
  <si>
    <t>036</t>
  </si>
  <si>
    <t>036-State Legislative Labor Relations</t>
  </si>
  <si>
    <t>037</t>
  </si>
  <si>
    <t>037-Office of Legislative Support Svcs</t>
  </si>
  <si>
    <t>038</t>
  </si>
  <si>
    <t>038-Joint Legislative Systems Comm</t>
  </si>
  <si>
    <t>040</t>
  </si>
  <si>
    <t>040-Statute Law Committee</t>
  </si>
  <si>
    <t>197</t>
  </si>
  <si>
    <t>6</t>
  </si>
  <si>
    <t>197-6 Statute Law Committee Publications-Non-Appropriated</t>
  </si>
  <si>
    <t>045</t>
  </si>
  <si>
    <t>045-Supreme Court</t>
  </si>
  <si>
    <t>048</t>
  </si>
  <si>
    <t>048-Court of Appeals</t>
  </si>
  <si>
    <t>050</t>
  </si>
  <si>
    <t>050-Commission on Judicial Conduct</t>
  </si>
  <si>
    <t>055</t>
  </si>
  <si>
    <t>055-Administrative Office of the Courts</t>
  </si>
  <si>
    <t>056</t>
  </si>
  <si>
    <t>056-Office of Public Defense</t>
  </si>
  <si>
    <t>057</t>
  </si>
  <si>
    <t>057-Office of Civil Legal Aid</t>
  </si>
  <si>
    <t>075</t>
  </si>
  <si>
    <t>075-Office of the Governor</t>
  </si>
  <si>
    <t>462</t>
  </si>
  <si>
    <t>462-1 Gov Central Service Account</t>
  </si>
  <si>
    <t>080</t>
  </si>
  <si>
    <t>080-Office of the Lieutenant Governor</t>
  </si>
  <si>
    <t>082</t>
  </si>
  <si>
    <t>082-Public Disclosure Commission</t>
  </si>
  <si>
    <t>083</t>
  </si>
  <si>
    <t>26H</t>
  </si>
  <si>
    <t>083-Washington State Leadership Board</t>
  </si>
  <si>
    <t>26H-1 WA St Leadership Board-State</t>
  </si>
  <si>
    <t>085</t>
  </si>
  <si>
    <t>085-Office of the Secretary of State</t>
  </si>
  <si>
    <t>006</t>
  </si>
  <si>
    <t>006-1 Public Records Effic/Presrv/Access-State</t>
  </si>
  <si>
    <t>14E</t>
  </si>
  <si>
    <t>14E-1 WA State Heritage Center Account-State</t>
  </si>
  <si>
    <t>407</t>
  </si>
  <si>
    <t>407-6 Secretary of State's Revolving Acct-Non-Appropriated</t>
  </si>
  <si>
    <t>441</t>
  </si>
  <si>
    <t>441-1 Local Government Archives Account-State</t>
  </si>
  <si>
    <t>086</t>
  </si>
  <si>
    <t>086-Governor's Office of Indian Affairs</t>
  </si>
  <si>
    <t>26C</t>
  </si>
  <si>
    <t>26C-1 Climate Commitment Account</t>
  </si>
  <si>
    <t>087</t>
  </si>
  <si>
    <t>087-Asian-Pacific-American Affrs</t>
  </si>
  <si>
    <t>090</t>
  </si>
  <si>
    <t>404</t>
  </si>
  <si>
    <t>090-Office of the State Treasurer</t>
  </si>
  <si>
    <t>404-1 State Treasurer's Service Account-State</t>
  </si>
  <si>
    <t>095</t>
  </si>
  <si>
    <t>095-Office of the State Auditor</t>
  </si>
  <si>
    <t>413</t>
  </si>
  <si>
    <t>413-6 Municipal Revolving Account-Non-Appropriated</t>
  </si>
  <si>
    <t>483</t>
  </si>
  <si>
    <t>483-1 Auditing Services Revolving Acct-State</t>
  </si>
  <si>
    <t>553-6 Performance Audits of Govt Acct-Non-Appropriated</t>
  </si>
  <si>
    <t>099</t>
  </si>
  <si>
    <t>099-Comm Salaries for Elected Officials</t>
  </si>
  <si>
    <t>100</t>
  </si>
  <si>
    <t>100-Office of the Attorney General</t>
  </si>
  <si>
    <t>111</t>
  </si>
  <si>
    <t>111-1 Public Service Revolving Account-State</t>
  </si>
  <si>
    <t>12F</t>
  </si>
  <si>
    <t>12F-6 Manufactured/Mobile Home Dispute-Non-Appropriated</t>
  </si>
  <si>
    <t>141</t>
  </si>
  <si>
    <t>141-6 Federal Seizure Account</t>
  </si>
  <si>
    <t>154</t>
  </si>
  <si>
    <t>154-1 New Motor Vehicle Arbitration Acct-State</t>
  </si>
  <si>
    <t>17L</t>
  </si>
  <si>
    <t>17L-6 Foreclosure Fairness Account-Non-Appropriated</t>
  </si>
  <si>
    <t>25V</t>
  </si>
  <si>
    <t>25V-6 WA ST Atg Charitable Asset Prtcn Acct</t>
  </si>
  <si>
    <t>405</t>
  </si>
  <si>
    <t>405-1 Legal Services Revolving Account-State</t>
  </si>
  <si>
    <t>424</t>
  </si>
  <si>
    <t>424-6 Anti-Trust Revolving Account-Non-Appropriated</t>
  </si>
  <si>
    <t>828</t>
  </si>
  <si>
    <t>828-1 Tobacco Prevention and Control Acct-State</t>
  </si>
  <si>
    <t>101</t>
  </si>
  <si>
    <t>101-Caseload Forecast Council</t>
  </si>
  <si>
    <t>102</t>
  </si>
  <si>
    <t>300</t>
  </si>
  <si>
    <t>102-Dept of Financial Institutions</t>
  </si>
  <si>
    <t>300-6 Financial Services Regulation Acct-Non-Appropriated</t>
  </si>
  <si>
    <t>103</t>
  </si>
  <si>
    <t>ADM</t>
  </si>
  <si>
    <t>103-Department of Commerce</t>
  </si>
  <si>
    <t>ADM-Program Support</t>
  </si>
  <si>
    <t>7</t>
  </si>
  <si>
    <t>001-7 General Fund-Private/Local</t>
  </si>
  <si>
    <t>CSD</t>
  </si>
  <si>
    <t>CSD-Community Services Division</t>
  </si>
  <si>
    <t>2</t>
  </si>
  <si>
    <t>001-2 General Fund-Federal</t>
  </si>
  <si>
    <t>06K</t>
  </si>
  <si>
    <t>06K-1 Lead Paint Account-State</t>
  </si>
  <si>
    <t>HSG</t>
  </si>
  <si>
    <t>HSG-Housing Division</t>
  </si>
  <si>
    <t>10B</t>
  </si>
  <si>
    <t>10B-1 Home Security Fund Account-State</t>
  </si>
  <si>
    <t>12C</t>
  </si>
  <si>
    <t>12C-1 Affordable Housing For All-State</t>
  </si>
  <si>
    <t>205</t>
  </si>
  <si>
    <t>205-6 Mobile Home Park Relocation Account-Non-Appropriated</t>
  </si>
  <si>
    <t>263</t>
  </si>
  <si>
    <t>263-1 Community/Economic Development Fee-State</t>
  </si>
  <si>
    <t>532</t>
  </si>
  <si>
    <t>532-1 Washington Housing Trust Account-State</t>
  </si>
  <si>
    <t>ENG</t>
  </si>
  <si>
    <t xml:space="preserve">ENG-Energy &amp; Innovation </t>
  </si>
  <si>
    <t>001-7 General Fund - Local</t>
  </si>
  <si>
    <t>150</t>
  </si>
  <si>
    <t>150-1 Low-Inc Weath/Str - State</t>
  </si>
  <si>
    <t>LOC</t>
  </si>
  <si>
    <t xml:space="preserve">LOC-Local Government    </t>
  </si>
  <si>
    <t>058</t>
  </si>
  <si>
    <t>058-1 Public Works Assistance Account-State</t>
  </si>
  <si>
    <t>14H</t>
  </si>
  <si>
    <t>14H-1 Comm Pres/Dev Auth - State</t>
  </si>
  <si>
    <t>501</t>
  </si>
  <si>
    <t>501-1 Liquor Revolving Account-State</t>
  </si>
  <si>
    <t>887</t>
  </si>
  <si>
    <t>887-1 Public Facility Const Loan Revolv-State</t>
  </si>
  <si>
    <t>EDC</t>
  </si>
  <si>
    <t xml:space="preserve">EDC-Econ Dev &amp; Compet   </t>
  </si>
  <si>
    <t>104</t>
  </si>
  <si>
    <t>104-Economic &amp; Revenue Forecast Council</t>
  </si>
  <si>
    <t>108-1 Motor Vehicle Account</t>
  </si>
  <si>
    <t>105</t>
  </si>
  <si>
    <t>105-Office of Financial Management</t>
  </si>
  <si>
    <t>415</t>
  </si>
  <si>
    <t>415-1 Personnel Service Account-State</t>
  </si>
  <si>
    <t>419</t>
  </si>
  <si>
    <t>419-1 Data Processing Revolving Account-State</t>
  </si>
  <si>
    <t>436</t>
  </si>
  <si>
    <t>436-6 OFM Labor Relations Service Acct-Non-Appropriated</t>
  </si>
  <si>
    <t>468</t>
  </si>
  <si>
    <t>468-1 OFM Central Services-State</t>
  </si>
  <si>
    <t>472</t>
  </si>
  <si>
    <t>472-6 Statewide IT Systems M&amp;O Rev Acct-Non-Appropriated</t>
  </si>
  <si>
    <t>107</t>
  </si>
  <si>
    <t>MED</t>
  </si>
  <si>
    <t>107-WA State Health Care Authority</t>
  </si>
  <si>
    <t>MED-Health Care Auth-MED</t>
  </si>
  <si>
    <t>ERB</t>
  </si>
  <si>
    <t>418</t>
  </si>
  <si>
    <t>ERB-Employee and Retiree Benefits</t>
  </si>
  <si>
    <t>418-1 St Health Care Authority Admin Acct-State</t>
  </si>
  <si>
    <t>492</t>
  </si>
  <si>
    <t>492-1 School Employees' Insurance Account</t>
  </si>
  <si>
    <t>110</t>
  </si>
  <si>
    <t>484</t>
  </si>
  <si>
    <t>110-Office of Administrative Hearings</t>
  </si>
  <si>
    <t>484-1 Administrative Hearings Revolving-State</t>
  </si>
  <si>
    <t>116</t>
  </si>
  <si>
    <t>578</t>
  </si>
  <si>
    <t>116-State Lottery Commission</t>
  </si>
  <si>
    <t>578-1 Lottery Administrative Account-State</t>
  </si>
  <si>
    <t>117</t>
  </si>
  <si>
    <t>884</t>
  </si>
  <si>
    <t>117-Washington State Gambling Comm</t>
  </si>
  <si>
    <t>884-6 Gambling Revolving Account-</t>
  </si>
  <si>
    <t>118</t>
  </si>
  <si>
    <t>118-WA State Comm on Hispanic Affairs</t>
  </si>
  <si>
    <t>119</t>
  </si>
  <si>
    <t>119-African-American Affairs Comm</t>
  </si>
  <si>
    <t>120</t>
  </si>
  <si>
    <t>120-Human Rights Commission</t>
  </si>
  <si>
    <t>124</t>
  </si>
  <si>
    <t>124-Department of Retirement Systems</t>
  </si>
  <si>
    <t>874</t>
  </si>
  <si>
    <t>874-6 OASI Revolving Account-Non-Appropriated</t>
  </si>
  <si>
    <t>888</t>
  </si>
  <si>
    <t>888-6 Deferred Compensation Admin Account-Non-Appropriated</t>
  </si>
  <si>
    <t>Non</t>
  </si>
  <si>
    <t>B</t>
  </si>
  <si>
    <t>Non Budgeted Fund</t>
  </si>
  <si>
    <t>126</t>
  </si>
  <si>
    <t>031</t>
  </si>
  <si>
    <t>126-State Investment Board</t>
  </si>
  <si>
    <t>031-1 State Investment Board Expense Acct-State</t>
  </si>
  <si>
    <t>140</t>
  </si>
  <si>
    <t>140-Department of Revenue</t>
  </si>
  <si>
    <t>02W</t>
  </si>
  <si>
    <t>02W-1 Timber Tax Distribution Account-State</t>
  </si>
  <si>
    <t>03N</t>
  </si>
  <si>
    <t>03N-1 Business License Account-State</t>
  </si>
  <si>
    <t>196</t>
  </si>
  <si>
    <t>196-6 Unclaimed Personal Property Account-Non-</t>
  </si>
  <si>
    <t>142</t>
  </si>
  <si>
    <t>142-Board of Tax Appeals</t>
  </si>
  <si>
    <t>147</t>
  </si>
  <si>
    <t>453</t>
  </si>
  <si>
    <t>147-Minority &amp; Women's Business Enterp</t>
  </si>
  <si>
    <t>453-1 OMWBE Enterprises Account-State</t>
  </si>
  <si>
    <t>160</t>
  </si>
  <si>
    <t>138</t>
  </si>
  <si>
    <t>160-Office of Insurance Commissioner</t>
  </si>
  <si>
    <t>138-1 Insurance Commissioner's Regulatory Account-State</t>
  </si>
  <si>
    <t>24P</t>
  </si>
  <si>
    <t>24P-1 Insurance Commissioner's Fraud Account-State</t>
  </si>
  <si>
    <t>163</t>
  </si>
  <si>
    <t>458</t>
  </si>
  <si>
    <t>163-Consolidated Technology Services</t>
  </si>
  <si>
    <t>458-1 Consolidated Tech Services Rev Acct-State</t>
  </si>
  <si>
    <t>458-6 Consolidated Tech Services Rev Acct-Non-Appropriated</t>
  </si>
  <si>
    <t>165</t>
  </si>
  <si>
    <t>02J</t>
  </si>
  <si>
    <t>165-State Board of Accountancy</t>
  </si>
  <si>
    <t>02J-1 Certified Public Accountants' Acct-State</t>
  </si>
  <si>
    <t>166</t>
  </si>
  <si>
    <t>024</t>
  </si>
  <si>
    <t>166-Bd of Reg Prof Eng &amp; Land Surveyors</t>
  </si>
  <si>
    <t>024-1 Profess Engineers' - State</t>
  </si>
  <si>
    <t>167</t>
  </si>
  <si>
    <t>02K</t>
  </si>
  <si>
    <t>167-Forensic Investigations Council</t>
  </si>
  <si>
    <t>02K-1 Death Investigations Account-State</t>
  </si>
  <si>
    <t>179</t>
  </si>
  <si>
    <t>179-Dept of Enterprise Services</t>
  </si>
  <si>
    <t>045-6 State Vehicle Parking Account-Non-Appropriated</t>
  </si>
  <si>
    <t>084</t>
  </si>
  <si>
    <t>084-1 Building Code Council Account-State</t>
  </si>
  <si>
    <t>422</t>
  </si>
  <si>
    <t>422-6 Enterprise Services Account-Non-Appropriated</t>
  </si>
  <si>
    <t>546</t>
  </si>
  <si>
    <t>546-6 Risk Management Administration Acct-Non-Appropriated</t>
  </si>
  <si>
    <t>185</t>
  </si>
  <si>
    <t>169</t>
  </si>
  <si>
    <t>185-Washington Horse Racing Commission</t>
  </si>
  <si>
    <t>169-6 Horse Racing Commission Op Account-Non Appropriated</t>
  </si>
  <si>
    <t>190</t>
  </si>
  <si>
    <t>608</t>
  </si>
  <si>
    <t>190-Bd of Industrial Insurance Appeals</t>
  </si>
  <si>
    <t>608-1 Accident Account-State</t>
  </si>
  <si>
    <t>609</t>
  </si>
  <si>
    <t>609-1 Medical Aid Account-State</t>
  </si>
  <si>
    <t>195</t>
  </si>
  <si>
    <t>195-Liquor and Cannabis Board</t>
  </si>
  <si>
    <t>315</t>
  </si>
  <si>
    <t>315-1 Dedicated Marijuana Account-State</t>
  </si>
  <si>
    <t>025</t>
  </si>
  <si>
    <t>205-Board of Pilotage Commissioners</t>
  </si>
  <si>
    <t>025-1 Pilotage Account-State</t>
  </si>
  <si>
    <t>215</t>
  </si>
  <si>
    <t>215-Utilities and Transportation Comm</t>
  </si>
  <si>
    <t>297</t>
  </si>
  <si>
    <t>297-1 Pipeline Safety-State</t>
  </si>
  <si>
    <t>220</t>
  </si>
  <si>
    <t>204</t>
  </si>
  <si>
    <t>220-Board for Volunteer Firefighters</t>
  </si>
  <si>
    <t>204-1 Vol Firefight/Resv Officer Admin-State</t>
  </si>
  <si>
    <t>225</t>
  </si>
  <si>
    <t>225-Washington State Patrol</t>
  </si>
  <si>
    <t>081</t>
  </si>
  <si>
    <t>081-1 State Patrol Highway Account-State</t>
  </si>
  <si>
    <t>227</t>
  </si>
  <si>
    <t>227-Criminal Justice Training Comm</t>
  </si>
  <si>
    <t>228</t>
  </si>
  <si>
    <t>106</t>
  </si>
  <si>
    <t>228-WA Traffic Safety Commission</t>
  </si>
  <si>
    <t>106-1 Highway Safety Account-State</t>
  </si>
  <si>
    <t>106-2 Highway Safety Account-Federal</t>
  </si>
  <si>
    <t>229</t>
  </si>
  <si>
    <t>229-Office of Independent Investigations</t>
  </si>
  <si>
    <t>235</t>
  </si>
  <si>
    <t>235-Department of Labor and Industries</t>
  </si>
  <si>
    <t>095-1 Electrical License Account-State</t>
  </si>
  <si>
    <t>21V</t>
  </si>
  <si>
    <t>21V-1 Construction Registration Inspection Account</t>
  </si>
  <si>
    <t>234</t>
  </si>
  <si>
    <t>234-1 Public Works Administration Acct-State</t>
  </si>
  <si>
    <t>885</t>
  </si>
  <si>
    <t>885-1 Plumbing Certificate Account-State</t>
  </si>
  <si>
    <t>892</t>
  </si>
  <si>
    <t>892-1 Pressure Systems Safety Account-State</t>
  </si>
  <si>
    <t>240</t>
  </si>
  <si>
    <t>240-Department of Licensing</t>
  </si>
  <si>
    <t>003</t>
  </si>
  <si>
    <t>003-1 Architects' License Account-State</t>
  </si>
  <si>
    <t>024-1 Professional Engineers' Account-State</t>
  </si>
  <si>
    <t>026</t>
  </si>
  <si>
    <t>026-1 Real Estate Commission Account-State</t>
  </si>
  <si>
    <t>04E</t>
  </si>
  <si>
    <t>04E-1 Uniform Commercial Code Account-State</t>
  </si>
  <si>
    <t>06G</t>
  </si>
  <si>
    <t>06G-1 Real Estate Appraiser Comm Acct-State</t>
  </si>
  <si>
    <t>06L</t>
  </si>
  <si>
    <t>06L-1 Business &amp; Professions Account-State</t>
  </si>
  <si>
    <t>082-1 Motorcycle Safety Education Account-State</t>
  </si>
  <si>
    <t>104-1 State Wildlife Account-State</t>
  </si>
  <si>
    <t>14V</t>
  </si>
  <si>
    <t>14V-1 Ignition Interlock Device Revolving-State</t>
  </si>
  <si>
    <t>15V</t>
  </si>
  <si>
    <t>15V-6 Funeral and Cemetery Account-Non-Appropriated</t>
  </si>
  <si>
    <t>16B</t>
  </si>
  <si>
    <t>16B-6 Landscape Architects' License Acct-Non-Appropriated</t>
  </si>
  <si>
    <t>16M</t>
  </si>
  <si>
    <t>16M-6 Appraisal Management Company Acct-Non-Appropriated</t>
  </si>
  <si>
    <t>201</t>
  </si>
  <si>
    <t>201-1 DOL Services Account-State</t>
  </si>
  <si>
    <t>298</t>
  </si>
  <si>
    <t>298-6 Geologists' Account-Non-Appropriated</t>
  </si>
  <si>
    <t>245</t>
  </si>
  <si>
    <t>245-Military Department</t>
  </si>
  <si>
    <t>275</t>
  </si>
  <si>
    <t>275-Public Employment Relations Comm</t>
  </si>
  <si>
    <t>455</t>
  </si>
  <si>
    <t>455-1 Higher Education Personnel Services-State</t>
  </si>
  <si>
    <t>145</t>
  </si>
  <si>
    <t>300-Dept of Social and Health Services</t>
  </si>
  <si>
    <t>145-Payments to Other Agencies</t>
  </si>
  <si>
    <t>303</t>
  </si>
  <si>
    <t>303-Department of Health</t>
  </si>
  <si>
    <t>02G</t>
  </si>
  <si>
    <t>02G-1 Health Professions Account-State</t>
  </si>
  <si>
    <t>03R</t>
  </si>
  <si>
    <t>03R-1 Safe Drinking Water Account-State</t>
  </si>
  <si>
    <t>04R</t>
  </si>
  <si>
    <t>04R-2 Drinking Water Assistance Account-Federal</t>
  </si>
  <si>
    <t>15M</t>
  </si>
  <si>
    <t>15M-1 Biotoxin Account-State</t>
  </si>
  <si>
    <t>23P</t>
  </si>
  <si>
    <t xml:space="preserve">23P-1 Model Toxics Oper - State          </t>
  </si>
  <si>
    <t>305</t>
  </si>
  <si>
    <t>010</t>
  </si>
  <si>
    <t>305-Department of Veterans' Affairs</t>
  </si>
  <si>
    <t>010-Headquarters</t>
  </si>
  <si>
    <t>020-Field Services</t>
  </si>
  <si>
    <t>08V</t>
  </si>
  <si>
    <t>08V-6 Stewardship Account</t>
  </si>
  <si>
    <t>11V</t>
  </si>
  <si>
    <t>11V-7 Veterans Estate Mgmt Program</t>
  </si>
  <si>
    <t>035-Institutional Services</t>
  </si>
  <si>
    <t>307</t>
  </si>
  <si>
    <t>307-Dept of Children, Youth and Families</t>
  </si>
  <si>
    <t>010-Children &amp; Family Services</t>
  </si>
  <si>
    <t>020-Juvenile Rehabilitation</t>
  </si>
  <si>
    <t>030</t>
  </si>
  <si>
    <t>030-Early Learning</t>
  </si>
  <si>
    <t xml:space="preserve">090-Program Support      </t>
  </si>
  <si>
    <t>310</t>
  </si>
  <si>
    <t>310-Department of Corrections</t>
  </si>
  <si>
    <t>100-Administration &amp; Support Services</t>
  </si>
  <si>
    <t>200</t>
  </si>
  <si>
    <t>200-Correctional Operations</t>
  </si>
  <si>
    <t>11K</t>
  </si>
  <si>
    <t>11K-1 Washington Auto Theft Prevention-State</t>
  </si>
  <si>
    <t>300-Community Supervision</t>
  </si>
  <si>
    <t>206</t>
  </si>
  <si>
    <t>206-6 Cost of Supervision Account-Non-Appropriated</t>
  </si>
  <si>
    <t>400</t>
  </si>
  <si>
    <t>400-Correctional Industries</t>
  </si>
  <si>
    <t>500</t>
  </si>
  <si>
    <t>500-Healthcare Services</t>
  </si>
  <si>
    <t>600-Interagency Payments</t>
  </si>
  <si>
    <t>700</t>
  </si>
  <si>
    <t>700-Offender Change</t>
  </si>
  <si>
    <t>315-Dept of Services for the Blind</t>
  </si>
  <si>
    <t>340</t>
  </si>
  <si>
    <t>PCA</t>
  </si>
  <si>
    <t>340-Student Achievement Council</t>
  </si>
  <si>
    <t>PCA-Policy Coordination &amp; Administration</t>
  </si>
  <si>
    <t>SFA</t>
  </si>
  <si>
    <t>SFA-Student Finanical Aid</t>
  </si>
  <si>
    <t>17R</t>
  </si>
  <si>
    <t>17R-1 Aerospace Training Student Loan Acc-State</t>
  </si>
  <si>
    <t>24J</t>
  </si>
  <si>
    <t>24J-1 Workforce Education Investment Account - State</t>
  </si>
  <si>
    <t>463</t>
  </si>
  <si>
    <t>463-6 Washington College Savings Program Account</t>
  </si>
  <si>
    <t>496</t>
  </si>
  <si>
    <t>496-6 Future Teachers Condtnl Scholarship-Non-Appropriated</t>
  </si>
  <si>
    <t>747</t>
  </si>
  <si>
    <t>747-6 Health Prof Loan Repay/Scholar Prog-Non-Appropriated</t>
  </si>
  <si>
    <t>788</t>
  </si>
  <si>
    <t>788-6 Adv College Tuition Payment Pgm-Non-Appropriated</t>
  </si>
  <si>
    <t>341</t>
  </si>
  <si>
    <t>548</t>
  </si>
  <si>
    <t>341-LEOFF 2 Retirement Board</t>
  </si>
  <si>
    <t>548-6 LEOFF Plan 2 Expense Fund-Non-Appropriated</t>
  </si>
  <si>
    <t>350</t>
  </si>
  <si>
    <t>350-Public Schools</t>
  </si>
  <si>
    <t>010-OSPI &amp; Statewide Programs</t>
  </si>
  <si>
    <t>351</t>
  </si>
  <si>
    <t>351-State School for the Blind</t>
  </si>
  <si>
    <t>353</t>
  </si>
  <si>
    <t>353-Childhood Deafness &amp; Hearing Loss</t>
  </si>
  <si>
    <t>354</t>
  </si>
  <si>
    <t>354-Workforce Trng &amp; Educ Coord Board</t>
  </si>
  <si>
    <t xml:space="preserve">354-Workforce Trng &amp; Educ Coord Board  </t>
  </si>
  <si>
    <t>24J-1 Workforce Ed Invest-State</t>
  </si>
  <si>
    <t>503</t>
  </si>
  <si>
    <t>503-6 Tuition Recovery Trust Fund-Non-Appropriated</t>
  </si>
  <si>
    <t>355</t>
  </si>
  <si>
    <t>355-Archaeology &amp; Historic Preservation</t>
  </si>
  <si>
    <t>359</t>
  </si>
  <si>
    <t>19L</t>
  </si>
  <si>
    <t>359-Washington Charter School Comm</t>
  </si>
  <si>
    <t>19L-1 Charter School Oversight Account-State</t>
  </si>
  <si>
    <t>360</t>
  </si>
  <si>
    <t>360-University of Washington</t>
  </si>
  <si>
    <t>149</t>
  </si>
  <si>
    <t>149-6 Inst of Hi Ed-Operating Fees Acct-Non-Appropriated</t>
  </si>
  <si>
    <t>365</t>
  </si>
  <si>
    <t>365-Washington State University</t>
  </si>
  <si>
    <t>370</t>
  </si>
  <si>
    <t>370-Eastern Washington University</t>
  </si>
  <si>
    <t>375</t>
  </si>
  <si>
    <t>375-Central Washington University</t>
  </si>
  <si>
    <t>376</t>
  </si>
  <si>
    <t>376-The Evergreen State College</t>
  </si>
  <si>
    <t>380</t>
  </si>
  <si>
    <t>380-Western Washington University</t>
  </si>
  <si>
    <t>387</t>
  </si>
  <si>
    <t>387-Washington State Arts Commission</t>
  </si>
  <si>
    <t>390</t>
  </si>
  <si>
    <t>390-Washington State Historical Society</t>
  </si>
  <si>
    <t>184</t>
  </si>
  <si>
    <t>184-6 Local Museum Acct-Wa St Hist Soc-Non-Appropriated</t>
  </si>
  <si>
    <t>395</t>
  </si>
  <si>
    <t>395-East Wash State Historical Society</t>
  </si>
  <si>
    <t>B00</t>
  </si>
  <si>
    <t>16J</t>
  </si>
  <si>
    <t>405-Department of Transportation</t>
  </si>
  <si>
    <t>B00-Program B - Toll Operations &amp; Maintenance</t>
  </si>
  <si>
    <t>16J-1 SR 520 Corridor Account-State</t>
  </si>
  <si>
    <t>511</t>
  </si>
  <si>
    <t>511-1 Tacoma Narrows Toll Bridge Account-State</t>
  </si>
  <si>
    <t>595</t>
  </si>
  <si>
    <t>595-1 I-405 Express Toll Lanes Operations-State</t>
  </si>
  <si>
    <t>C00</t>
  </si>
  <si>
    <t>C00-Program C - Information Technology</t>
  </si>
  <si>
    <t>218</t>
  </si>
  <si>
    <t>218-1 Multimodal Transportation Account-State</t>
  </si>
  <si>
    <t>D00</t>
  </si>
  <si>
    <t>D00-Program D - Facilities - Operating</t>
  </si>
  <si>
    <t>F00</t>
  </si>
  <si>
    <t>039</t>
  </si>
  <si>
    <t>F00-Program F - Aviation</t>
  </si>
  <si>
    <t>039-1 Aeronautics Account-State</t>
  </si>
  <si>
    <t>H00</t>
  </si>
  <si>
    <t>H00-Program H - Program Delivery Management &amp; Support</t>
  </si>
  <si>
    <t>I00</t>
  </si>
  <si>
    <t>09H</t>
  </si>
  <si>
    <t>I00-Program I - Improvements - Capital</t>
  </si>
  <si>
    <t>09H-1 Transportation Partnership Account-State</t>
  </si>
  <si>
    <t>20H</t>
  </si>
  <si>
    <t>20H-1 Connecting Washington Account-State</t>
  </si>
  <si>
    <t>K00</t>
  </si>
  <si>
    <t>K00-Program K - Public Private Partnerships - Operating</t>
  </si>
  <si>
    <t>M00</t>
  </si>
  <si>
    <t>M00-Program M - Highway Maintenance</t>
  </si>
  <si>
    <t>P0C</t>
  </si>
  <si>
    <t>P0C-Program P - Preservation - Capital</t>
  </si>
  <si>
    <t>Q00</t>
  </si>
  <si>
    <t>Q00-Program Q - Traffic Operations</t>
  </si>
  <si>
    <t>S00</t>
  </si>
  <si>
    <t>S00-Program S - Transp Management &amp; Support</t>
  </si>
  <si>
    <t>T00</t>
  </si>
  <si>
    <t>T00-Program T - Transportation Planning, Data and Research - Op</t>
  </si>
  <si>
    <t>U00</t>
  </si>
  <si>
    <t>U00-Program U - Charges from Other Agencies</t>
  </si>
  <si>
    <t>V00</t>
  </si>
  <si>
    <t>V00-Program V - Public Transportation</t>
  </si>
  <si>
    <t>W0C</t>
  </si>
  <si>
    <t>W0C-Program W - Wa State Ferries-Construction - Capital</t>
  </si>
  <si>
    <t>X00</t>
  </si>
  <si>
    <t>109</t>
  </si>
  <si>
    <t>X00-Program X - Washington State Ferries - Operating</t>
  </si>
  <si>
    <t>109-1 Puget Sound Ferry Operations Acct-State</t>
  </si>
  <si>
    <t>Y00</t>
  </si>
  <si>
    <t>Y00-Program Y - Rail - Operating</t>
  </si>
  <si>
    <t>Z00</t>
  </si>
  <si>
    <t>Z00-Program Z - Local Programs - Operating</t>
  </si>
  <si>
    <t>406</t>
  </si>
  <si>
    <t>406-County Road Administration Board</t>
  </si>
  <si>
    <t>010-Operating</t>
  </si>
  <si>
    <t>144</t>
  </si>
  <si>
    <t>407-Transportation Improvement Board</t>
  </si>
  <si>
    <t>144-1 Transportation Improvement Account-State</t>
  </si>
  <si>
    <t>410</t>
  </si>
  <si>
    <t>410-Transportation Commission</t>
  </si>
  <si>
    <t>411</t>
  </si>
  <si>
    <t>09E</t>
  </si>
  <si>
    <t>411-Freight Mobility Strategic Invest</t>
  </si>
  <si>
    <t>09E-1 Freight Mobility Investment Account</t>
  </si>
  <si>
    <t>460</t>
  </si>
  <si>
    <t>460-Columbia River Gorge Commission</t>
  </si>
  <si>
    <t>461</t>
  </si>
  <si>
    <t>461-Department of Ecology</t>
  </si>
  <si>
    <t>027</t>
  </si>
  <si>
    <t>027-1 Reclamation Account-State</t>
  </si>
  <si>
    <t>02P</t>
  </si>
  <si>
    <t>02P-1 Flood Control Assistance Account-State</t>
  </si>
  <si>
    <t>044</t>
  </si>
  <si>
    <t>044-1 Waste Reduct/Recycle/Litter Control-State</t>
  </si>
  <si>
    <t>176</t>
  </si>
  <si>
    <t>176-1 Water Quality Permit Account-State</t>
  </si>
  <si>
    <t>182</t>
  </si>
  <si>
    <t>182-1 Underground Storage Tank Account-State</t>
  </si>
  <si>
    <t>199</t>
  </si>
  <si>
    <t>199-1 Biosolids Permit Account-State</t>
  </si>
  <si>
    <t>207</t>
  </si>
  <si>
    <t>207-1 Hazardous Waste Assistance Account-State</t>
  </si>
  <si>
    <t>20R</t>
  </si>
  <si>
    <t>20R-1 Radioactive Mixed Waste Account-State</t>
  </si>
  <si>
    <t>216</t>
  </si>
  <si>
    <t>216-1 Air Pollution Control Account-State</t>
  </si>
  <si>
    <t>217</t>
  </si>
  <si>
    <t>217-1 Oil Spill Prevention Account-State</t>
  </si>
  <si>
    <t>219</t>
  </si>
  <si>
    <t>219-1 Air Operating Permit Account-State</t>
  </si>
  <si>
    <t>23P-1 Model Toxics Control Operating Account-State</t>
  </si>
  <si>
    <t>25Q</t>
  </si>
  <si>
    <t>25Q-1 Clean Fuels Program-State</t>
  </si>
  <si>
    <t>26B</t>
  </si>
  <si>
    <t>26B-1 Climate Investment Account-State</t>
  </si>
  <si>
    <t>26C-1 Climate Commitment-State</t>
  </si>
  <si>
    <t>26D</t>
  </si>
  <si>
    <t>26D-1 Natural Climate Solutions-State</t>
  </si>
  <si>
    <t>564</t>
  </si>
  <si>
    <t>564-1 Water Pollution Ctrl Revl Admin-State</t>
  </si>
  <si>
    <t>462-WA Pollution Liab Insurance Program</t>
  </si>
  <si>
    <t>001-2 General Fund (Federal - EPA)</t>
  </si>
  <si>
    <t>20T</t>
  </si>
  <si>
    <t>20T-1 PLIA Underground Storage Tank Revolving</t>
  </si>
  <si>
    <t>544</t>
  </si>
  <si>
    <t>544-1 Pollution Liab Insurance Prog Trus-State</t>
  </si>
  <si>
    <t>545</t>
  </si>
  <si>
    <t>545-6 Heating Oil Pollution Liab Trust-Non-Approp</t>
  </si>
  <si>
    <t>463-Energy Facility Site Eval Council</t>
  </si>
  <si>
    <t>465</t>
  </si>
  <si>
    <t>465-State Parks and Recreation Comm</t>
  </si>
  <si>
    <t>269</t>
  </si>
  <si>
    <t>269-1 Parks Renewal &amp; Stewardship Acct-State</t>
  </si>
  <si>
    <t>467</t>
  </si>
  <si>
    <t>467-Rec and Conservation Funding Board</t>
  </si>
  <si>
    <t>267</t>
  </si>
  <si>
    <t>267-1 Recreation Resources Account-State</t>
  </si>
  <si>
    <t>468-Environ &amp; Land Use Hearings Office</t>
  </si>
  <si>
    <t>471</t>
  </si>
  <si>
    <t>471-State Conservation Commission</t>
  </si>
  <si>
    <t>477</t>
  </si>
  <si>
    <t>477-Dept of Fish and Wildlife</t>
  </si>
  <si>
    <t>478</t>
  </si>
  <si>
    <t>478-Puget Sound Partnership</t>
  </si>
  <si>
    <t>02R</t>
  </si>
  <si>
    <t>02R-1 Aquatic Lands Enhancement Account-State</t>
  </si>
  <si>
    <t>23P-1 Model Toxics Oper - State</t>
  </si>
  <si>
    <t>490</t>
  </si>
  <si>
    <t>490-DNR</t>
  </si>
  <si>
    <t>014-1 Forest Development Account</t>
  </si>
  <si>
    <t>01B</t>
  </si>
  <si>
    <t>01B-1 ORV &amp; Non-Highway Vehicle Account</t>
  </si>
  <si>
    <t>02A</t>
  </si>
  <si>
    <t>02A-1 Surveys and Maps Account</t>
  </si>
  <si>
    <t>02R-1 Aquatic Lands Enhancement Account</t>
  </si>
  <si>
    <t>041</t>
  </si>
  <si>
    <t>041-1 Resource Management Cost Account</t>
  </si>
  <si>
    <t>04H</t>
  </si>
  <si>
    <t>04H-1 Surface Mining Reclamation Account</t>
  </si>
  <si>
    <t>05H</t>
  </si>
  <si>
    <t>05H-1 Disaster Response Account</t>
  </si>
  <si>
    <t>087-6 Park Land Trust Revolving Account</t>
  </si>
  <si>
    <t>11H</t>
  </si>
  <si>
    <t>11H-1 Forest and Fish Support Account</t>
  </si>
  <si>
    <t>167-1 Natural Resources Conservation Areas Stewardship Account</t>
  </si>
  <si>
    <t>190-6 Forest Fire Protection Assessment</t>
  </si>
  <si>
    <t>193</t>
  </si>
  <si>
    <t>193-6 State Forest Nursery Revolving Account</t>
  </si>
  <si>
    <t>198</t>
  </si>
  <si>
    <t>198-6 Access Road Revolving Account</t>
  </si>
  <si>
    <t>19C</t>
  </si>
  <si>
    <t>19C-1 Forest Practices Application Account</t>
  </si>
  <si>
    <t>216-1 Air Pollution Control Account</t>
  </si>
  <si>
    <t>21Q</t>
  </si>
  <si>
    <t>21Q-6 Forest Health Revolving Account</t>
  </si>
  <si>
    <t>22P</t>
  </si>
  <si>
    <t>22P-6 Natural Resources Federal Lands Revolving Account</t>
  </si>
  <si>
    <t>23P-1 Model Toxics Control Operating Account</t>
  </si>
  <si>
    <t>25P</t>
  </si>
  <si>
    <t>25P-1 Wildfire Response, Forest Restoration &amp; Community Resilience</t>
  </si>
  <si>
    <t>26D-1 Natural Climate Solutions Account</t>
  </si>
  <si>
    <t>513</t>
  </si>
  <si>
    <t>513-1 Derelict Vessel Removal Account</t>
  </si>
  <si>
    <t>830</t>
  </si>
  <si>
    <t>830-1 Agricultural College Trust Management Account</t>
  </si>
  <si>
    <t>495</t>
  </si>
  <si>
    <t>495-Department of Agriculture</t>
  </si>
  <si>
    <t>126-6 Agricultural Local Account-Non-Appropriated</t>
  </si>
  <si>
    <t>128</t>
  </si>
  <si>
    <t>128-6 Grain Inspection Revolving Acct-Non-Appropriated</t>
  </si>
  <si>
    <t>131</t>
  </si>
  <si>
    <t>131-6 Fair Account-Non-Appropriated</t>
  </si>
  <si>
    <t>516</t>
  </si>
  <si>
    <t>516-6 Fruit and Vegetable Inspection Acct-Non-Appropriated</t>
  </si>
  <si>
    <t>540</t>
  </si>
  <si>
    <t>540-Employment Security Department</t>
  </si>
  <si>
    <t>119-2 Unemployment Compensation Admin-Federal</t>
  </si>
  <si>
    <t>120-1 Administrative Contingency Account-State</t>
  </si>
  <si>
    <t>134</t>
  </si>
  <si>
    <t>134-1 Employment Services Administrative-State</t>
  </si>
  <si>
    <t>16L</t>
  </si>
  <si>
    <t>16L-6 Accessible Communities Account-Non-Appropriated</t>
  </si>
  <si>
    <t>22F</t>
  </si>
  <si>
    <t>22F-1 PFML</t>
  </si>
  <si>
    <t>24J-1 CCL</t>
  </si>
  <si>
    <t>567</t>
  </si>
  <si>
    <t>567-1 LTCSS</t>
  </si>
  <si>
    <t>541</t>
  </si>
  <si>
    <t>541-ESD  PFM</t>
  </si>
  <si>
    <t>447</t>
  </si>
  <si>
    <t>447-6 IT DR Coop</t>
  </si>
  <si>
    <t>542</t>
  </si>
  <si>
    <t>542-ESD  LTC</t>
  </si>
  <si>
    <t>543</t>
  </si>
  <si>
    <t>543-ESD  UI</t>
  </si>
  <si>
    <t>544-ESD - Other</t>
  </si>
  <si>
    <t>699</t>
  </si>
  <si>
    <t>699-Community/Technical College System</t>
  </si>
  <si>
    <t>IF(AgyChoice=1,FundList,OFFSET(AgencyFund,MATCH((Agency),AgencyFund,0)-1,1,COUNTIF(AgencyFund,Agency)))</t>
  </si>
  <si>
    <t>AgencyFund Table</t>
  </si>
  <si>
    <t>distinct agency list</t>
  </si>
  <si>
    <t>Distinct Fund List</t>
  </si>
  <si>
    <t>Programcheck</t>
  </si>
  <si>
    <t>DSHS SubProgList for 030 and 040</t>
  </si>
  <si>
    <t>Fund</t>
  </si>
  <si>
    <t>Column1</t>
  </si>
  <si>
    <t>ProgramCode</t>
  </si>
  <si>
    <t>BudgetType</t>
  </si>
  <si>
    <t>SummFlag</t>
  </si>
  <si>
    <t>ProgramTitle60</t>
  </si>
  <si>
    <t>Program2</t>
  </si>
  <si>
    <t>agency</t>
  </si>
  <si>
    <t>Subprogram</t>
  </si>
  <si>
    <t>Title35</t>
  </si>
  <si>
    <t>(No column name)</t>
  </si>
  <si>
    <t>011-House of Reps</t>
  </si>
  <si>
    <t xml:space="preserve">011-House of Representatives           </t>
  </si>
  <si>
    <t>001-0 General Fund-Fed Grnt</t>
  </si>
  <si>
    <t>O</t>
  </si>
  <si>
    <t>0</t>
  </si>
  <si>
    <t xml:space="preserve">Program Support                    </t>
  </si>
  <si>
    <t xml:space="preserve">ADM-Program Support     </t>
  </si>
  <si>
    <t>2000</t>
  </si>
  <si>
    <t xml:space="preserve">State Facility Services            </t>
  </si>
  <si>
    <t xml:space="preserve">2000-State Facility Svcs </t>
  </si>
  <si>
    <t>108-1 Motor Vehicle Acct-State</t>
  </si>
  <si>
    <t xml:space="preserve">012-Senate                             </t>
  </si>
  <si>
    <t>CSH</t>
  </si>
  <si>
    <t xml:space="preserve">Community Services and Housing     </t>
  </si>
  <si>
    <t xml:space="preserve">CSH-Comm Svcs &amp; Housing </t>
  </si>
  <si>
    <t>1000</t>
  </si>
  <si>
    <t xml:space="preserve">Community Services                 </t>
  </si>
  <si>
    <t xml:space="preserve">1000-Community Services  </t>
  </si>
  <si>
    <t xml:space="preserve">013-Joint Transportation Committee     </t>
  </si>
  <si>
    <t xml:space="preserve">Econ Development &amp; Competitiveness </t>
  </si>
  <si>
    <t xml:space="preserve">Residential Habilitation Services  </t>
  </si>
  <si>
    <t xml:space="preserve">2000-Resid Habilitation  </t>
  </si>
  <si>
    <t xml:space="preserve">014-Jt Leg Audit &amp; Review Committee    </t>
  </si>
  <si>
    <t>001-7 General Fund-Local</t>
  </si>
  <si>
    <t xml:space="preserve">Energy and Innovation              </t>
  </si>
  <si>
    <t>8000</t>
  </si>
  <si>
    <t xml:space="preserve">Special Projects                   </t>
  </si>
  <si>
    <t xml:space="preserve">8000-Special Projects    </t>
  </si>
  <si>
    <t>013-Jt Trans Committee</t>
  </si>
  <si>
    <t xml:space="preserve">020-LEAP Committee                     </t>
  </si>
  <si>
    <t>001-A General Fund-Fam Supt</t>
  </si>
  <si>
    <t xml:space="preserve">Local Government                   </t>
  </si>
  <si>
    <t>9000</t>
  </si>
  <si>
    <t xml:space="preserve">9000-Program Support     </t>
  </si>
  <si>
    <t>218-1 Multimodal Acct-State</t>
  </si>
  <si>
    <t xml:space="preserve">035-Office of the State Actuary        </t>
  </si>
  <si>
    <t>001-C General Fund-Medicaid</t>
  </si>
  <si>
    <t>CBH</t>
  </si>
  <si>
    <t xml:space="preserve">Community Behavioral Health        </t>
  </si>
  <si>
    <t xml:space="preserve">CBH-Comm Behavior Hlth  </t>
  </si>
  <si>
    <t>014-Leg Audit &amp; Review</t>
  </si>
  <si>
    <t xml:space="preserve">036-State Legislative Labor Relations  </t>
  </si>
  <si>
    <t>001-D General Fund-TANF</t>
  </si>
  <si>
    <t>HBE</t>
  </si>
  <si>
    <t xml:space="preserve">Health Benefit Exchange            </t>
  </si>
  <si>
    <t xml:space="preserve">HBE-Health Benefit Exch </t>
  </si>
  <si>
    <t>553-1 Perf Audits of Govt-State</t>
  </si>
  <si>
    <t xml:space="preserve">037-Office of Legislative Support Svcs </t>
  </si>
  <si>
    <t>001-H General Fund-ARPA</t>
  </si>
  <si>
    <t>OTH</t>
  </si>
  <si>
    <t xml:space="preserve">Other                              </t>
  </si>
  <si>
    <t xml:space="preserve">OTH-Other               </t>
  </si>
  <si>
    <t>099-1 PS Cap Construction-State</t>
  </si>
  <si>
    <t xml:space="preserve">038-Joint Legislative Systems Comm     </t>
  </si>
  <si>
    <t>001-W General Fund-Oth COVID</t>
  </si>
  <si>
    <t>PEB</t>
  </si>
  <si>
    <t xml:space="preserve">Employee Benefits                  </t>
  </si>
  <si>
    <t xml:space="preserve">PEB-Employee Benefits   </t>
  </si>
  <si>
    <t xml:space="preserve">040-Statute Law Committee              </t>
  </si>
  <si>
    <t>001-X General Fund-CRF App</t>
  </si>
  <si>
    <t>SEB</t>
  </si>
  <si>
    <t xml:space="preserve">School Employee Benefits Board     </t>
  </si>
  <si>
    <t xml:space="preserve">SEB-Schl Empl Benefits  </t>
  </si>
  <si>
    <t xml:space="preserve">045-Supreme Court                      </t>
  </si>
  <si>
    <t>001-Y General Fund-Oth UAR</t>
  </si>
  <si>
    <t>90C</t>
  </si>
  <si>
    <t xml:space="preserve">Capital                            </t>
  </si>
  <si>
    <t xml:space="preserve">90C-Capital             </t>
  </si>
  <si>
    <t xml:space="preserve">048-Court of Appeals                   </t>
  </si>
  <si>
    <t>001-Z General Fund-CRRSA</t>
  </si>
  <si>
    <t>OPR</t>
  </si>
  <si>
    <t xml:space="preserve">Operating                          </t>
  </si>
  <si>
    <t xml:space="preserve">OPR-Operating           </t>
  </si>
  <si>
    <t>035-State Actuary</t>
  </si>
  <si>
    <t xml:space="preserve">050-Commission on Judicial Conduct     </t>
  </si>
  <si>
    <t>002-1 Hospital Data Collec-State</t>
  </si>
  <si>
    <t xml:space="preserve">Mental Health                      </t>
  </si>
  <si>
    <t xml:space="preserve">030-Mental Health       </t>
  </si>
  <si>
    <t>418-1 St Hlth Care Admn Ac-State</t>
  </si>
  <si>
    <t>003-1 Architects' License-State</t>
  </si>
  <si>
    <t xml:space="preserve">Developmental Disabilities         </t>
  </si>
  <si>
    <t>040-Develop Disabilities</t>
  </si>
  <si>
    <t>492-1 School Employees' In-State</t>
  </si>
  <si>
    <t xml:space="preserve">056-Office of Public Defense           </t>
  </si>
  <si>
    <t>006-1 Public Records Effic-State</t>
  </si>
  <si>
    <t xml:space="preserve">Long-Term Care                     </t>
  </si>
  <si>
    <t xml:space="preserve">050-Long-Term Care      </t>
  </si>
  <si>
    <t>600-1 Retirmnt Sys Expense-State</t>
  </si>
  <si>
    <t xml:space="preserve">057-Office of Civil Legal Aid          </t>
  </si>
  <si>
    <t>007-1 Winter Recreation-State</t>
  </si>
  <si>
    <t>060</t>
  </si>
  <si>
    <t xml:space="preserve">Economic Services Administration   </t>
  </si>
  <si>
    <t xml:space="preserve">060-Economic Svcs Admin </t>
  </si>
  <si>
    <t>036-St Leg Labor Rel</t>
  </si>
  <si>
    <t xml:space="preserve">075-Office of the Governor             </t>
  </si>
  <si>
    <t>014-1 Forest Development-State</t>
  </si>
  <si>
    <t xml:space="preserve">Vocational Rehabilitation          </t>
  </si>
  <si>
    <t xml:space="preserve">100-Vocational Rehab    </t>
  </si>
  <si>
    <t>037-Leg Support Services</t>
  </si>
  <si>
    <t xml:space="preserve">080-Office of the Lieutenant Governor  </t>
  </si>
  <si>
    <t>018-1 Millersylvania Park-State</t>
  </si>
  <si>
    <t xml:space="preserve">Administration/Support Svcs        </t>
  </si>
  <si>
    <t xml:space="preserve">110-Admin/Suppt Svcs    </t>
  </si>
  <si>
    <t>442-6 Leg Gift Center Acct-Non-Appr</t>
  </si>
  <si>
    <t xml:space="preserve">082-Public Disclosure Commission       </t>
  </si>
  <si>
    <t>01B-1 ORV/NonHiwy Veh Acct-State</t>
  </si>
  <si>
    <t>135</t>
  </si>
  <si>
    <t xml:space="preserve">Special Commitment Center          </t>
  </si>
  <si>
    <t xml:space="preserve">135-Special Commitment  </t>
  </si>
  <si>
    <t>038-Joint Leg Syst Comm</t>
  </si>
  <si>
    <t xml:space="preserve">083-Washington State Leadership Board  </t>
  </si>
  <si>
    <t>01F-6 Crime Victims Compen-Non-Appr</t>
  </si>
  <si>
    <t xml:space="preserve">Payments to Other Agencies         </t>
  </si>
  <si>
    <t>145-Payments to Othr Agy</t>
  </si>
  <si>
    <t>040-Statute Law Comm</t>
  </si>
  <si>
    <t xml:space="preserve">085-Office of the Secretary of State   </t>
  </si>
  <si>
    <t>01M-1 Snowmobile Account-State</t>
  </si>
  <si>
    <t xml:space="preserve">Headquarters                       </t>
  </si>
  <si>
    <t xml:space="preserve">010-Headquarters        </t>
  </si>
  <si>
    <t>197-6 Statute Law Comm Pub-Non-Appr</t>
  </si>
  <si>
    <t>024-1 Profess Engineers'-State</t>
  </si>
  <si>
    <t xml:space="preserve">Field Services                     </t>
  </si>
  <si>
    <t xml:space="preserve">020-Field Services      </t>
  </si>
  <si>
    <t xml:space="preserve">087-Asian-Pacific-American Affrs       </t>
  </si>
  <si>
    <t xml:space="preserve">State Veterans Homes               </t>
  </si>
  <si>
    <t xml:space="preserve">035-State Vets Homes    </t>
  </si>
  <si>
    <t>046-State Law Library</t>
  </si>
  <si>
    <t xml:space="preserve">090-Office of the State Treasurer      </t>
  </si>
  <si>
    <t>026-1 Real Estate Cmsn-State</t>
  </si>
  <si>
    <t xml:space="preserve">Veteran's Cemetery Services        </t>
  </si>
  <si>
    <t xml:space="preserve">045-Vets Cemetery Servs </t>
  </si>
  <si>
    <t xml:space="preserve">095-Office of the State Auditor        </t>
  </si>
  <si>
    <t>027-1 Reclamation Acct-State</t>
  </si>
  <si>
    <t xml:space="preserve">Children and Families Services     </t>
  </si>
  <si>
    <t xml:space="preserve">010-Children &amp; Families </t>
  </si>
  <si>
    <t>050-Judicial Conduct</t>
  </si>
  <si>
    <t>02A-1 Surveys &amp; Maps Acct-State</t>
  </si>
  <si>
    <t xml:space="preserve">Juvenile Rehabilitation            </t>
  </si>
  <si>
    <t xml:space="preserve">020-Juvenile Rehab      </t>
  </si>
  <si>
    <t>055-Admin Office Courts</t>
  </si>
  <si>
    <t xml:space="preserve">100-Office of the Attorney General     </t>
  </si>
  <si>
    <t>02G-1 Health Prfessns Acct-State</t>
  </si>
  <si>
    <t xml:space="preserve">Early Learning                     </t>
  </si>
  <si>
    <t xml:space="preserve">030-Early Learning      </t>
  </si>
  <si>
    <t xml:space="preserve">101-Caseload Forecast Council          </t>
  </si>
  <si>
    <t>02H-6 Business Enterprises-Non-Appr</t>
  </si>
  <si>
    <t xml:space="preserve">090-Program Support     </t>
  </si>
  <si>
    <t xml:space="preserve">102-Dept of Financial Institutions     </t>
  </si>
  <si>
    <t>02J-1 CPA Account-State</t>
  </si>
  <si>
    <t xml:space="preserve">Admin &amp; Support Services           </t>
  </si>
  <si>
    <t xml:space="preserve">100-Admin &amp; Suppt Svcs  </t>
  </si>
  <si>
    <t xml:space="preserve">103-Department of Commerce             </t>
  </si>
  <si>
    <t>02K-1 Death Investigations-State</t>
  </si>
  <si>
    <t xml:space="preserve">Correctional Operations            </t>
  </si>
  <si>
    <t xml:space="preserve">200-Correctional Oper   </t>
  </si>
  <si>
    <t>16A-1 Judicial Stabil Trst-State</t>
  </si>
  <si>
    <t>02M-1 Essential Rail Asst-State</t>
  </si>
  <si>
    <t xml:space="preserve">Community Supervision              </t>
  </si>
  <si>
    <t xml:space="preserve">300-Community Supervsn  </t>
  </si>
  <si>
    <t>543-1 Judicial Info System-State</t>
  </si>
  <si>
    <t xml:space="preserve">105-Office of Financial Management     </t>
  </si>
  <si>
    <t>02P-1 Flood Control Assist-State</t>
  </si>
  <si>
    <t xml:space="preserve">Correctional Industries            </t>
  </si>
  <si>
    <t xml:space="preserve">400-Correctional Indust </t>
  </si>
  <si>
    <t>056-Public Defense</t>
  </si>
  <si>
    <t xml:space="preserve">107-WA State Health Care Authority     </t>
  </si>
  <si>
    <t>02R-1 Aquatic Lands Acct-State</t>
  </si>
  <si>
    <t xml:space="preserve">Health Care Services               </t>
  </si>
  <si>
    <t>500-Health Care Services</t>
  </si>
  <si>
    <t xml:space="preserve">110-Office of Administrative Hearings  </t>
  </si>
  <si>
    <t>02W-1 Timber Tax Distr Act-State</t>
  </si>
  <si>
    <t xml:space="preserve">Interagency Payments               </t>
  </si>
  <si>
    <t xml:space="preserve">116-State Lottery Commission           </t>
  </si>
  <si>
    <t>030-6 Land Cont Forst Fire-Non-Appr</t>
  </si>
  <si>
    <t xml:space="preserve">Offender Change                    </t>
  </si>
  <si>
    <t xml:space="preserve">700-Offender Change     </t>
  </si>
  <si>
    <t xml:space="preserve">117-Washington State Gambling Comm     </t>
  </si>
  <si>
    <t>031-1 Invest Bd Expense Ac-State</t>
  </si>
  <si>
    <t xml:space="preserve">Policy &amp; Research Coordination     </t>
  </si>
  <si>
    <t xml:space="preserve">PCA-Policy &amp; Research   </t>
  </si>
  <si>
    <t>057-Civil Legal Aid</t>
  </si>
  <si>
    <t xml:space="preserve">118-WA State Comm on Hispanic Affairs  </t>
  </si>
  <si>
    <t>032-1 Emergency Water Proj-State</t>
  </si>
  <si>
    <t xml:space="preserve">Student Financial Assistance       </t>
  </si>
  <si>
    <t xml:space="preserve">SFA-Student Fin Assist  </t>
  </si>
  <si>
    <t xml:space="preserve">119-African-American Affairs Comm      </t>
  </si>
  <si>
    <t>039-1 Aeronautics-State</t>
  </si>
  <si>
    <t xml:space="preserve">OSPI &amp; Statewide Programs          </t>
  </si>
  <si>
    <t xml:space="preserve">010-OSPI/Statewide Pgms </t>
  </si>
  <si>
    <t xml:space="preserve">120-Human Rights Commission            </t>
  </si>
  <si>
    <t>039-2 Aeronautics-Federal</t>
  </si>
  <si>
    <t xml:space="preserve">Pgm B - Toll Op &amp; Maint - Op       </t>
  </si>
  <si>
    <t xml:space="preserve">B00-B - Toll Operations </t>
  </si>
  <si>
    <t>17L-6 Foreclosure Fairness-Non-Appr</t>
  </si>
  <si>
    <t xml:space="preserve">124-Department of Retirement Systems   </t>
  </si>
  <si>
    <t>039-7 Aeronautics-Local</t>
  </si>
  <si>
    <t xml:space="preserve">Pgm C - Information Technology     </t>
  </si>
  <si>
    <t xml:space="preserve">C00-C - Info Technology </t>
  </si>
  <si>
    <t>075-Governor</t>
  </si>
  <si>
    <t xml:space="preserve">126-State Investment Board             </t>
  </si>
  <si>
    <t>03B-1 Asbestos Account-State</t>
  </si>
  <si>
    <t xml:space="preserve">Pgm D - Facilities - Op            </t>
  </si>
  <si>
    <t xml:space="preserve">D00-D - Facilities-Op   </t>
  </si>
  <si>
    <t>09R-1 Econ Dev Strat R A-State</t>
  </si>
  <si>
    <t xml:space="preserve">140-Department of Revenue              </t>
  </si>
  <si>
    <t>03C-1 Emer Med/Trauma Care-State</t>
  </si>
  <si>
    <t>D0C</t>
  </si>
  <si>
    <t xml:space="preserve">Pgm D - Facilities - Cap           </t>
  </si>
  <si>
    <t xml:space="preserve">D0C-D - Facilities-Cap  </t>
  </si>
  <si>
    <t>26B-1 Climate Investment-State</t>
  </si>
  <si>
    <t xml:space="preserve">142-Board of Tax Appeals               </t>
  </si>
  <si>
    <t>03F-1 911 Account-State</t>
  </si>
  <si>
    <t>E00</t>
  </si>
  <si>
    <t xml:space="preserve">Pgm E - Transpo Equipment Fund     </t>
  </si>
  <si>
    <t>E00-E - Transp Equip Fnd</t>
  </si>
  <si>
    <t>081-1 WSP Highway Account-State</t>
  </si>
  <si>
    <t xml:space="preserve">147-Minority &amp; Women's Business Enterp </t>
  </si>
  <si>
    <t>03L-1 Cnty Criminal Justic-State</t>
  </si>
  <si>
    <t xml:space="preserve">Pgm F - Aviation                   </t>
  </si>
  <si>
    <t xml:space="preserve">F00-F - Aviation        </t>
  </si>
  <si>
    <t>076-Spec Approps to Gov</t>
  </si>
  <si>
    <t xml:space="preserve">160-Office of Insurance Commissioner   </t>
  </si>
  <si>
    <t>03M-1 Munic Criminal Justi-State</t>
  </si>
  <si>
    <t xml:space="preserve">Pgm H - Pgm Delivery Mgmt &amp; Suppt  </t>
  </si>
  <si>
    <t>H00-H - Pgm Del Mgmt/Sup</t>
  </si>
  <si>
    <t xml:space="preserve">163-Consolidated Technology Services   </t>
  </si>
  <si>
    <t>03N-1 Business License-State</t>
  </si>
  <si>
    <t>I0C</t>
  </si>
  <si>
    <t xml:space="preserve">Pgm I - Improvements               </t>
  </si>
  <si>
    <t xml:space="preserve">I0C-I - Improvements    </t>
  </si>
  <si>
    <t xml:space="preserve">165-State Board of Accountancy         </t>
  </si>
  <si>
    <t>03P-1 Fire Svcs Trust Acct-State</t>
  </si>
  <si>
    <t xml:space="preserve">Pgm K - Public/Private Part - Op   </t>
  </si>
  <si>
    <t xml:space="preserve">K00-K - Pub/Pvt Part-Op </t>
  </si>
  <si>
    <t>03R-1 Safe Drink Wtr Acct-State</t>
  </si>
  <si>
    <t xml:space="preserve">Pgm M - Highway Maintenance        </t>
  </si>
  <si>
    <t xml:space="preserve">M00-M - Hwy Maintenance </t>
  </si>
  <si>
    <t xml:space="preserve">167-Forensic Investigations Council    </t>
  </si>
  <si>
    <t>041-1 Res Mgmt Cost Acct-State</t>
  </si>
  <si>
    <t xml:space="preserve">Pgm P - Preservation               </t>
  </si>
  <si>
    <t xml:space="preserve">P0C-P - Preservation    </t>
  </si>
  <si>
    <t xml:space="preserve">179-Dept of Enterprise Services        </t>
  </si>
  <si>
    <t>042-1 C E P and R I Acct-State</t>
  </si>
  <si>
    <t xml:space="preserve">Pgm Q - Transportation Ops - Op    </t>
  </si>
  <si>
    <t xml:space="preserve">Q00-Q - Transpo Ops-Op  </t>
  </si>
  <si>
    <t xml:space="preserve">185-Washington Horse Racing Commission </t>
  </si>
  <si>
    <t>044-1 Waste Reduct/Recycle-State</t>
  </si>
  <si>
    <t>Q0C</t>
  </si>
  <si>
    <t xml:space="preserve">Pgm Q - Transportation Ops - Cap   </t>
  </si>
  <si>
    <t xml:space="preserve">Q0C-Q - Transpo Ops-Cap </t>
  </si>
  <si>
    <t xml:space="preserve">190-Bd of Industrial Insurance Appeals </t>
  </si>
  <si>
    <t>045-1 State Veh Park Acct-State</t>
  </si>
  <si>
    <t xml:space="preserve">Pgm S - Transportation Management  </t>
  </si>
  <si>
    <t xml:space="preserve">S00-S - Transpo Mgmt    </t>
  </si>
  <si>
    <t xml:space="preserve">195-Liquor and Cannabis Board          </t>
  </si>
  <si>
    <t>045-6 State Veh Park Acct-Non-Appr</t>
  </si>
  <si>
    <t xml:space="preserve">Pgm T - Transpo Plan, Data &amp; Resch </t>
  </si>
  <si>
    <t>T00-T - Tran Pl,Data,Res</t>
  </si>
  <si>
    <t>202-1 Med Test Site Licen-State</t>
  </si>
  <si>
    <t xml:space="preserve">205-Board of Pilotage Commissioners    </t>
  </si>
  <si>
    <t>048-1 Marine Fuel Tax Refu-State</t>
  </si>
  <si>
    <t xml:space="preserve">Pgm U - Charges from Other Agys    </t>
  </si>
  <si>
    <t>U00-U - Chgs Othr Agency</t>
  </si>
  <si>
    <t>24B-1 Found Pub Hlth Svc-State</t>
  </si>
  <si>
    <t xml:space="preserve">215-Utilities and Transportation Comm  </t>
  </si>
  <si>
    <t>04E-1 Uniform Commer Code-State</t>
  </si>
  <si>
    <t xml:space="preserve">Pgm V - Public Transportation      </t>
  </si>
  <si>
    <t>V00-V - Public Transport</t>
  </si>
  <si>
    <t xml:space="preserve">220-Board for Volunteer Firefighters   </t>
  </si>
  <si>
    <t>04F-1 Real Est Ed Pgm Acct-State</t>
  </si>
  <si>
    <t xml:space="preserve">Pgm W - WA State Ferries - Cap     </t>
  </si>
  <si>
    <t xml:space="preserve">W0C-W - WA Ferries-Cap  </t>
  </si>
  <si>
    <t>441-1 Local Gov Archives-State</t>
  </si>
  <si>
    <t xml:space="preserve">225-Washington State Patrol            </t>
  </si>
  <si>
    <t>04H-1 Surface Mining Recl-State</t>
  </si>
  <si>
    <t xml:space="preserve">Pgm X - WA State Ferries - Op      </t>
  </si>
  <si>
    <t>X00-X - WA St Ferries-Op</t>
  </si>
  <si>
    <t>447-6 Info Tech Invest Rev-Non-Appr</t>
  </si>
  <si>
    <t xml:space="preserve">227-Criminal Justice Training Comm     </t>
  </si>
  <si>
    <t>04M-1 Recreatnl Fish Enhan-State</t>
  </si>
  <si>
    <t xml:space="preserve">Pgm Y - Rail - Op                  </t>
  </si>
  <si>
    <t xml:space="preserve">Y00-Y - Rail-Op         </t>
  </si>
  <si>
    <t>706-2 COVID Fiscal Recover-Federal</t>
  </si>
  <si>
    <t xml:space="preserve">228-WA Traffic Safety Commission       </t>
  </si>
  <si>
    <t>04R-2 Drinking Water Assis-Federal</t>
  </si>
  <si>
    <t>Y0C</t>
  </si>
  <si>
    <t xml:space="preserve">Pgm Y - Rail - Cap                 </t>
  </si>
  <si>
    <t xml:space="preserve">Y0C-Y - Rail-Cap        </t>
  </si>
  <si>
    <t xml:space="preserve">229-Independent Investigations         </t>
  </si>
  <si>
    <t>04V-1 Veh License Fraud-State</t>
  </si>
  <si>
    <t xml:space="preserve">Pgm Z - Local Programs - Op        </t>
  </si>
  <si>
    <t xml:space="preserve">Z00-Z - Local Pgms-Op   </t>
  </si>
  <si>
    <t>080-Lieutenant Governor</t>
  </si>
  <si>
    <t xml:space="preserve">235-Department of Labor and Industries </t>
  </si>
  <si>
    <t>04W-1 Water Works Op Cert-State</t>
  </si>
  <si>
    <t>Z0C</t>
  </si>
  <si>
    <t xml:space="preserve">Pgm Z - Local Programs - Cap       </t>
  </si>
  <si>
    <t xml:space="preserve">Z0C-Z - Local Pgms-Cap  </t>
  </si>
  <si>
    <t xml:space="preserve">240-Department of Licensing            </t>
  </si>
  <si>
    <t>058-1 Public Works Assist-State</t>
  </si>
  <si>
    <t xml:space="preserve">010-Operating           </t>
  </si>
  <si>
    <t>07L-6 Leg Int Trade Acct-Non-Appr</t>
  </si>
  <si>
    <t xml:space="preserve">245-Military Department                </t>
  </si>
  <si>
    <t>05C-1 Crim Justice Treatmt-State</t>
  </si>
  <si>
    <t>01C</t>
  </si>
  <si>
    <t xml:space="preserve">01C-Capital             </t>
  </si>
  <si>
    <t>082-Public Disclosure</t>
  </si>
  <si>
    <t xml:space="preserve">275-Public Employment Relations Comm   </t>
  </si>
  <si>
    <t>05H-1 Disaster Response-State</t>
  </si>
  <si>
    <t>22W-1 Publc Disclsr Transp-State</t>
  </si>
  <si>
    <t xml:space="preserve">300-Dept of Social and Health Services </t>
  </si>
  <si>
    <t>05H-2 Disaster Response-Federal</t>
  </si>
  <si>
    <t>083-WA St Leadership Bd</t>
  </si>
  <si>
    <t>26H-1 WA Leader Board-State</t>
  </si>
  <si>
    <t xml:space="preserve">303-Department of Health               </t>
  </si>
  <si>
    <t>05R-1 Drinking Water Asst-State</t>
  </si>
  <si>
    <t>26J-6 WA Leader Brd Sp Lic-Non-Appr</t>
  </si>
  <si>
    <t xml:space="preserve">305-Department of Veterans' Affairs    </t>
  </si>
  <si>
    <t>05W-1 St Drought Prepare-State</t>
  </si>
  <si>
    <t>085-Secretary of State</t>
  </si>
  <si>
    <t xml:space="preserve">307-Children, Youth, and Families      </t>
  </si>
  <si>
    <t>060-1 Comm/Tech Cap Proj A-State</t>
  </si>
  <si>
    <t xml:space="preserve">310-Department of Corrections          </t>
  </si>
  <si>
    <t>062-1 WSU Building Account-State</t>
  </si>
  <si>
    <t xml:space="preserve">315-Dept of Services for the Blind     </t>
  </si>
  <si>
    <t>063-1 CWU Capital Projects-State</t>
  </si>
  <si>
    <t xml:space="preserve">340-Student Achievement Council        </t>
  </si>
  <si>
    <t>064-1 UW Building Account-State</t>
  </si>
  <si>
    <t>06H-6 WA St Legacy Proj-Non-Appr</t>
  </si>
  <si>
    <t xml:space="preserve">341-LEOFF 2 Retirement Board           </t>
  </si>
  <si>
    <t>065-1 WWU Capital Projects-State</t>
  </si>
  <si>
    <t>12M-1 Charitable Org Ed-State</t>
  </si>
  <si>
    <t xml:space="preserve">350-Public Schools                     </t>
  </si>
  <si>
    <t>066-1 TESC Capital Project-State</t>
  </si>
  <si>
    <t>14E-1 WA St Library Ops-State</t>
  </si>
  <si>
    <t xml:space="preserve">351-State School for the Blind         </t>
  </si>
  <si>
    <t>06A-1 Salmon Recovery Acct-State</t>
  </si>
  <si>
    <t>14E-6 WA St Library Ops-Non-Appr</t>
  </si>
  <si>
    <t xml:space="preserve">353-Deaf and Hard of Hearing Youth     </t>
  </si>
  <si>
    <t>06G-1 Real Est App C Acct-State</t>
  </si>
  <si>
    <t>407-6 Secretary State Rev-Non-Appr</t>
  </si>
  <si>
    <t>415-1 Personnel Svc Acct-State</t>
  </si>
  <si>
    <t>06J-6 Securities Pros Acct-Non-Appr</t>
  </si>
  <si>
    <t xml:space="preserve">359-Charter School Commission          </t>
  </si>
  <si>
    <t>470-6 Imaging Account-Non-Appr</t>
  </si>
  <si>
    <t xml:space="preserve">360-University of Washington           </t>
  </si>
  <si>
    <t>06L-1 Business Professions-State</t>
  </si>
  <si>
    <t>549-2 Election Account-Federal</t>
  </si>
  <si>
    <t xml:space="preserve">365-Washington State University        </t>
  </si>
  <si>
    <t>06R-1 Real Estate Research-State</t>
  </si>
  <si>
    <t xml:space="preserve">370-Eastern Washington University      </t>
  </si>
  <si>
    <t>06T-1 License Plate T Acct-State</t>
  </si>
  <si>
    <t>086-Indian Affairs</t>
  </si>
  <si>
    <t xml:space="preserve">375-Central Washington University      </t>
  </si>
  <si>
    <t>071-1 Warm Water Game Fish-State</t>
  </si>
  <si>
    <t>087-Asian-Pac-Amer Affr</t>
  </si>
  <si>
    <t xml:space="preserve">376-The Evergreen State College        </t>
  </si>
  <si>
    <t>072-1 Improv-Water Supply - State</t>
  </si>
  <si>
    <t>090-State Treasurer</t>
  </si>
  <si>
    <t xml:space="preserve">380-Western Washington University      </t>
  </si>
  <si>
    <t>07A-6 M L Fraud Pros Acct-Non-Appr</t>
  </si>
  <si>
    <t>404-1 Treasurer's Service-State</t>
  </si>
  <si>
    <t xml:space="preserve">387-Washington State Arts Commission   </t>
  </si>
  <si>
    <t>07E-1 Con Harv Rev Account-State</t>
  </si>
  <si>
    <t>091-Redistricting Comm</t>
  </si>
  <si>
    <t>07E-6 Con Harv Rev Account-Non-Appr</t>
  </si>
  <si>
    <t>095-State Auditor</t>
  </si>
  <si>
    <t xml:space="preserve">395-East Wash State Historical Society </t>
  </si>
  <si>
    <t>413-6 Municipal Revolving-Non-Appr</t>
  </si>
  <si>
    <t xml:space="preserve">405-Department of Transportation       </t>
  </si>
  <si>
    <t>07V-6 Fish &amp; Wild E Reward-Non-Appr</t>
  </si>
  <si>
    <t>483-1 Auditing Svcs Revolv-State</t>
  </si>
  <si>
    <t xml:space="preserve">406-County Road Administration Board   </t>
  </si>
  <si>
    <t>07W-1 Domestic Violence P-State</t>
  </si>
  <si>
    <t xml:space="preserve">407-Transportation Improvement Board   </t>
  </si>
  <si>
    <t>080-1 Grade Crossing Acct-State</t>
  </si>
  <si>
    <t>553-6 Perf Audits of Govt-Non-Appr</t>
  </si>
  <si>
    <t xml:space="preserve">410-Transportation Commission          </t>
  </si>
  <si>
    <t>099-Sal Elected Official</t>
  </si>
  <si>
    <t xml:space="preserve">411-Freight Mobility Strategic Invest  </t>
  </si>
  <si>
    <t>081-2 WSP Highway Account-Federal</t>
  </si>
  <si>
    <t>100-Attorney General</t>
  </si>
  <si>
    <t xml:space="preserve">460-Columbia River Gorge Commission    </t>
  </si>
  <si>
    <t>081-7 WSP Highway Account-Local</t>
  </si>
  <si>
    <t xml:space="preserve">461-Department of Ecology              </t>
  </si>
  <si>
    <t>082-1 Motorcycle Safety Ed-State</t>
  </si>
  <si>
    <t>084-1 Building Code Cncl-State</t>
  </si>
  <si>
    <t>111-1 Public Srvc Revlv-State</t>
  </si>
  <si>
    <t xml:space="preserve">463-Energy Facility Site Eval Council  </t>
  </si>
  <si>
    <t>086-1 Fire Serv Trng Acct-State</t>
  </si>
  <si>
    <t>12F-6 Manf/Mob Hme Disp-Non-Appr</t>
  </si>
  <si>
    <t xml:space="preserve">465-State Parks and Recreation Comm    </t>
  </si>
  <si>
    <t>087-6 Park Land Trust Rvlg-Non-Appr</t>
  </si>
  <si>
    <t>141-6 Fed Narcotics Forfet-Non-Appr</t>
  </si>
  <si>
    <t xml:space="preserve">467-Recreation and Conservation Office </t>
  </si>
  <si>
    <t>08A-1 Education Legacy T A-State</t>
  </si>
  <si>
    <t>154-1 Motor Vehcle Arbitrn-State</t>
  </si>
  <si>
    <t xml:space="preserve">468-Environ &amp; Land Use Hearings Office </t>
  </si>
  <si>
    <t>08G-6 Flexible Spend Admin-Non-Appr</t>
  </si>
  <si>
    <t xml:space="preserve">471-State Conservation Commission      </t>
  </si>
  <si>
    <t>08H-1 Military Rent and L-State</t>
  </si>
  <si>
    <t>19A-1 Medicaid Fraud Pnlty-State</t>
  </si>
  <si>
    <t xml:space="preserve">477-Dept of Fish and Wildlife          </t>
  </si>
  <si>
    <t>08J-6 Prescrip Drug Cons A-Non-Appr</t>
  </si>
  <si>
    <t>19P-1 Child Rescue Fund-State</t>
  </si>
  <si>
    <t xml:space="preserve">478-Puget Sound Partnership            </t>
  </si>
  <si>
    <t>08K-1 Problem Gambling Acc-State</t>
  </si>
  <si>
    <t>25V-6 Charitable Assets Pr-Non-Appr</t>
  </si>
  <si>
    <t xml:space="preserve">490-Department of Natural Resources    </t>
  </si>
  <si>
    <t>08M-1 Small City Pave/Side-State</t>
  </si>
  <si>
    <t>405-1 Legal Serv Rev Acct-State</t>
  </si>
  <si>
    <t xml:space="preserve">495-Department of Agriculture          </t>
  </si>
  <si>
    <t>08P-6 State Parks Ed Enh-Non-Appr</t>
  </si>
  <si>
    <t>424-6 Anti-Trust Revolving - Non-Appr</t>
  </si>
  <si>
    <t xml:space="preserve">540-Employment Security Department     </t>
  </si>
  <si>
    <t>08R-1 Waste Tire Removal A-State</t>
  </si>
  <si>
    <t xml:space="preserve">699-Community/Technical College System </t>
  </si>
  <si>
    <t>08V-6 Veterans Stewardship-Non-Appr</t>
  </si>
  <si>
    <t>828-1 Tobacco Prev/Ctl-State</t>
  </si>
  <si>
    <t>094-1 Trans Infrastructure-State</t>
  </si>
  <si>
    <t>101-Caseload Forecast</t>
  </si>
  <si>
    <t>095-1 Electrical License-State</t>
  </si>
  <si>
    <t>096-1 Hwy Infrastructure-State</t>
  </si>
  <si>
    <t>102-Financial Inst Dept</t>
  </si>
  <si>
    <t>096-2 Hwy Infrastructure-Federal</t>
  </si>
  <si>
    <t>097-1 R V Account-State</t>
  </si>
  <si>
    <t>300-6 Financial Svcs Regul-Non-Appr</t>
  </si>
  <si>
    <t>098-1 EW Pheas Enh Acct-State</t>
  </si>
  <si>
    <t>103-Dept Commerce</t>
  </si>
  <si>
    <t>099-2 PS Cap Construction-Federal</t>
  </si>
  <si>
    <t>099-7 PS Cap Construction-Local</t>
  </si>
  <si>
    <t>09B-6 Boating Safety Ed C-Non-Appr</t>
  </si>
  <si>
    <t>09E-1 Freight Mobil Inv A-State</t>
  </si>
  <si>
    <t>09H-1 Transpo Partner Acct-State</t>
  </si>
  <si>
    <t>09H-T Transpo Partner Acct-Bonds</t>
  </si>
  <si>
    <t>09J-6 WA Coast Crab Pot B-Non-Appr</t>
  </si>
  <si>
    <t>09L-6 Nursing Res Center-Non-Appr</t>
  </si>
  <si>
    <t>107-1 Liquor Excise-State</t>
  </si>
  <si>
    <t>102-1 Rural Arterial Trust-State</t>
  </si>
  <si>
    <t>10B-1 Home Security Fund-State</t>
  </si>
  <si>
    <t>104-1 Lim Fish &amp; Wildlife-State</t>
  </si>
  <si>
    <t>12C-1 Affordable Housing-State</t>
  </si>
  <si>
    <t>106-1 Highway Safety Acct-State</t>
  </si>
  <si>
    <t>14H-1 Comm Pres/Dev Auth-State</t>
  </si>
  <si>
    <t>106-2 Highway Safety Acct-Federal</t>
  </si>
  <si>
    <t>14M-1 Finan Frd &amp; Id Thft-State</t>
  </si>
  <si>
    <t>106-7 Highway Safety Acct-Local</t>
  </si>
  <si>
    <t>19V-1 Cancer Research Endo-State</t>
  </si>
  <si>
    <t>108-2 Motor Vehicle Acct-Federal</t>
  </si>
  <si>
    <t>205-6 Mobile Home Pk Reloc-Non-Appr</t>
  </si>
  <si>
    <t>108-7 Motor Vehicle Acct-Local</t>
  </si>
  <si>
    <t>22S-6 Landlord Mitigation-Non-Appr</t>
  </si>
  <si>
    <t>109-1 Puget Sd Ferry Oper-State</t>
  </si>
  <si>
    <t>22T-1 SW Tourism Marketing-State</t>
  </si>
  <si>
    <t>109-2 Puget Sd Ferry Oper-Federal</t>
  </si>
  <si>
    <t>23R-1 Model Toxics Strmwtr-State</t>
  </si>
  <si>
    <t>109-7 Puget Sd Ferry Oper-Local</t>
  </si>
  <si>
    <t>263-1 Comm Economic Devel-State</t>
  </si>
  <si>
    <t>26U-1 Apple Health &amp; Homes-State</t>
  </si>
  <si>
    <t>10G-1 Water Rights Track-State</t>
  </si>
  <si>
    <t>27B-1 Elec Veh Incentive-State</t>
  </si>
  <si>
    <t>110-1 Special Wildlife-State</t>
  </si>
  <si>
    <t>285-1 Growth Mgmt Planning-State</t>
  </si>
  <si>
    <t>110-2 Special Wildlife-Federal</t>
  </si>
  <si>
    <t>315-1 Dedicated Cannabis-State</t>
  </si>
  <si>
    <t>110-7 Special Wildlife-Local</t>
  </si>
  <si>
    <t>501-1 Liquor Revolving Acc-State</t>
  </si>
  <si>
    <t>532-1 Wa Housing Trust Acc-State</t>
  </si>
  <si>
    <t>111-2 Public Srvc Revlv-Federal</t>
  </si>
  <si>
    <t>116-6 Basic Data Account-Non-Appr</t>
  </si>
  <si>
    <t>746-6 Hanford Econ Invest-Non-Appr</t>
  </si>
  <si>
    <t>119-2 Unemploy Comp Admin-Federal</t>
  </si>
  <si>
    <t>759-6 Miscellaneous Pgm-Non-Appr</t>
  </si>
  <si>
    <t>11A-6 Employment Training-Non-Appr</t>
  </si>
  <si>
    <t>777-1 Prostitution Prevent-State</t>
  </si>
  <si>
    <t>11B-1 Regnl Mob Grnt Acct-State</t>
  </si>
  <si>
    <t>887-1 Pub Facil Const Loan-State</t>
  </si>
  <si>
    <t>11E-1 Freight Mblty Multi-State</t>
  </si>
  <si>
    <t>218-2 Multimodal Acct-Federal</t>
  </si>
  <si>
    <t>11H-1 Forest &amp; Fish Suppt-State</t>
  </si>
  <si>
    <t>26Q-1 Move Ahead WA Flex-State</t>
  </si>
  <si>
    <t>11J-6 Elec Product Recycle-Non-Appr</t>
  </si>
  <si>
    <t>104-Econ &amp; Rev Forecast</t>
  </si>
  <si>
    <t>11K-1 WA Auto Theft Prevnt-State</t>
  </si>
  <si>
    <t>578-1 Lottery Admin Acct-State</t>
  </si>
  <si>
    <t>11V-7 Veteran Estate Mgmt-Local</t>
  </si>
  <si>
    <t>105-OFM</t>
  </si>
  <si>
    <t>120-1 Admin Contingen Acct-State</t>
  </si>
  <si>
    <t>125-1 Site Closure Account-State</t>
  </si>
  <si>
    <t>126-6 Agric Local Acct-Non-Appr</t>
  </si>
  <si>
    <t>128-6 Grain Inspection-Non-Appr</t>
  </si>
  <si>
    <t>16R-6 Multiagency Permit T-Non-Appr</t>
  </si>
  <si>
    <t>12G-6 Rockfish Research-Non-Appr</t>
  </si>
  <si>
    <t>25N-1 988 BH Crisis Rsp Ln-State</t>
  </si>
  <si>
    <t>12L-6 Outdoor Ed &amp; Rec-Non-Appr</t>
  </si>
  <si>
    <t>421-6 Ed Tech Revolving-Non-Appr</t>
  </si>
  <si>
    <t>12P-1 Geoduck Aquaculture-State</t>
  </si>
  <si>
    <t>436-6 OFM Labor Relations-Non-Appr</t>
  </si>
  <si>
    <t>12T-1 Trauma Brain Injury-State</t>
  </si>
  <si>
    <t>455-1 Higher Ed Pers Svcs-State</t>
  </si>
  <si>
    <t>12T-6 Trauma Brain Injury-Non-Appr</t>
  </si>
  <si>
    <t>466-1 Statewide IT Sys Dev-State</t>
  </si>
  <si>
    <t>131-6 Fair Account-Non-Appr</t>
  </si>
  <si>
    <t>133-6 Childrens' Trst Acct-Non-Appr</t>
  </si>
  <si>
    <t>472-1 Statewide IT Sys M&amp;O-State</t>
  </si>
  <si>
    <t>134-1 Employment Service-State</t>
  </si>
  <si>
    <t>472-6 Statewide IT Sys M&amp;O-Non-Appr</t>
  </si>
  <si>
    <t>138-1 Insurance Comm Regul-State</t>
  </si>
  <si>
    <t>143-6 HE Federal Appr Acct-Non-Appr</t>
  </si>
  <si>
    <t>144-1 Tran Improv Account-State</t>
  </si>
  <si>
    <t>145-6 HE Grants/Contract-Non-Appr</t>
  </si>
  <si>
    <t>146-1 Firearms Range Acct-State</t>
  </si>
  <si>
    <t>107-Health Care Auth</t>
  </si>
  <si>
    <t>148-6 HE Dedicated Local-Non-Appr</t>
  </si>
  <si>
    <t>149-6 HE Operating Fees-Non-Appr</t>
  </si>
  <si>
    <t>14A-1 Wildlife Rehab-State</t>
  </si>
  <si>
    <t>14G-1 Ballast Water Mgmt-State</t>
  </si>
  <si>
    <t>14P-6 Skeletal Human-Non-Appr</t>
  </si>
  <si>
    <t>14R-1 Mil Dep ASSA-State</t>
  </si>
  <si>
    <t>14V-1 Ignition Interlock-State</t>
  </si>
  <si>
    <t>14W-6 Reduced Cigarette Ig-Non-Appr</t>
  </si>
  <si>
    <t>153-1 Rural Mobility-State</t>
  </si>
  <si>
    <t>16W-1 Hospital Safety Net-State</t>
  </si>
  <si>
    <t>172-6 Basic Hlth Plan Trst-Non-Appr</t>
  </si>
  <si>
    <t>158-1 Aquatic Land Dredged-State</t>
  </si>
  <si>
    <t>17T-1 Health Benefit Excha-State</t>
  </si>
  <si>
    <t>159-6 Parks Improvement Ac-Non-Appr</t>
  </si>
  <si>
    <t>23L-6 Indian Hlth Imp Rein-Non-Appr</t>
  </si>
  <si>
    <t>24L-1 Ambulance Transport-State</t>
  </si>
  <si>
    <t>15V-1 Funeral &amp; Cemetery-State</t>
  </si>
  <si>
    <t>24V-1 Telebehav Hea Acc Ac-State</t>
  </si>
  <si>
    <t>15V-6 Funeral &amp; Cemetery-Non-Appr</t>
  </si>
  <si>
    <t>25M-1 Hlth Care Afford-State</t>
  </si>
  <si>
    <t>160-1 Wood Stove Education-State</t>
  </si>
  <si>
    <t>162-1 Farm Lbr Contractor-State</t>
  </si>
  <si>
    <t>163-1 Worker &amp; Comm Right-State</t>
  </si>
  <si>
    <t>167-1 Nat Resources Conser-State</t>
  </si>
  <si>
    <t>438-6 UDP Benefits Admin-Non-Appr</t>
  </si>
  <si>
    <t>169-6 Horse Racing Commsn-Non-Appr</t>
  </si>
  <si>
    <t>439-6 UMP Admin Bene Acct-Non-Appr</t>
  </si>
  <si>
    <t>474-6 SEBB Flex Spend Admn-Non-Appr</t>
  </si>
  <si>
    <t>16B-1 Landscape Architects-State</t>
  </si>
  <si>
    <t>475-6 SEBB Dntl Admn Acct-Non-Appr</t>
  </si>
  <si>
    <t>16B-6 Landscape Architects-Non-Appr</t>
  </si>
  <si>
    <t>16G-6 Univ Vaccine Purch-Non-Appr</t>
  </si>
  <si>
    <t>492-6 School Employees' In-Non-Appr</t>
  </si>
  <si>
    <t>16J-1 SR 520 Corridor Acct-State</t>
  </si>
  <si>
    <t>493-6 School Empl Ins Acct-Non-Appr</t>
  </si>
  <si>
    <t>16L-6 Accessible Community-Non-Appr</t>
  </si>
  <si>
    <t>494-6 SEBB Med Ben Admin-Non-Appr</t>
  </si>
  <si>
    <t>16M-1 Appraisal Mgmt Comp-State</t>
  </si>
  <si>
    <t>16M-6 Appraisal Mgmt Comp-Non-Appr</t>
  </si>
  <si>
    <t>721-6 Pub Emp/Ret Ins-Non-Appr</t>
  </si>
  <si>
    <t>16T-6 Product Stewardship-Non-Appr</t>
  </si>
  <si>
    <t>110-Admin Hearings</t>
  </si>
  <si>
    <t>180-6 Lcl Gov Adm Hearings-Non-Appr</t>
  </si>
  <si>
    <t>16V-1 Water Rights Process-State</t>
  </si>
  <si>
    <t>484-1 Admin Hearings Revol-State</t>
  </si>
  <si>
    <t>484-7 Admin Hearings Revol-Local</t>
  </si>
  <si>
    <t>116-State Lottery Comm</t>
  </si>
  <si>
    <t>433-6 Shared Game Lottery-Non-Appr</t>
  </si>
  <si>
    <t>176-1 Water Quality Permit-State</t>
  </si>
  <si>
    <t>577-6 State Lottery Acct-Non-Appr</t>
  </si>
  <si>
    <t>17B-1 Home Visiting Svcs-State</t>
  </si>
  <si>
    <t>17B-2 Home Visiting Svcs-Federal</t>
  </si>
  <si>
    <t>117-Gambling Commission</t>
  </si>
  <si>
    <t>17F-1 WA Opportunity Path-State</t>
  </si>
  <si>
    <t>226-6 State Seizure Acct-Non-Appr</t>
  </si>
  <si>
    <t>884-6 Gambling Revolving-Non-Appr</t>
  </si>
  <si>
    <t>17M-6 Indivi-Based/Portabl - Non-Appr</t>
  </si>
  <si>
    <t>118-Hispanic Affairs</t>
  </si>
  <si>
    <t>17N-1 Complete Streets Gra-State</t>
  </si>
  <si>
    <t>119-African-Amer Affrs</t>
  </si>
  <si>
    <t>17P-1 SR 520 Civil Penalty-State</t>
  </si>
  <si>
    <t>120-Human Rights Comm</t>
  </si>
  <si>
    <t>17R-1 Aerospace Training S-State</t>
  </si>
  <si>
    <t>124-Retirement Systems</t>
  </si>
  <si>
    <t>17W-1 Limousine Carrier Ac-State</t>
  </si>
  <si>
    <t>600-6 Retirmnt Sys Expense-Non-Appr</t>
  </si>
  <si>
    <t>182-1 Underground Storage-State</t>
  </si>
  <si>
    <t>874-6 OASI Revolving Acct-Non-Appr</t>
  </si>
  <si>
    <t>184-6 St Hist Museum Fund-Non-Appr</t>
  </si>
  <si>
    <t>888-6 Defrd Comp Admin Acc-Non-Appr</t>
  </si>
  <si>
    <t>185-6 East Wa Museum Acct-Non-Appr</t>
  </si>
  <si>
    <t>186-1 County Arterial Pres-State</t>
  </si>
  <si>
    <t>126-Investment Board</t>
  </si>
  <si>
    <t>18E-6 Educator Certificati-Non-Appr</t>
  </si>
  <si>
    <t>140-Revenue</t>
  </si>
  <si>
    <t>18J-1 Capital Vessel Repla-State</t>
  </si>
  <si>
    <t>18K-1 24/7 Sobriety Acct-State</t>
  </si>
  <si>
    <t>190-1 Forest Assessment-State</t>
  </si>
  <si>
    <t>190-6 Forest Assessment-Non-Appr</t>
  </si>
  <si>
    <t>196-6 Unclmd Pers Prpty-Non-Appr</t>
  </si>
  <si>
    <t>193-1 ST Forest Nursery-State</t>
  </si>
  <si>
    <t>23P-1 Model Toxics Oper-State</t>
  </si>
  <si>
    <t>193-6 ST Forest Nursery-Non-Appr</t>
  </si>
  <si>
    <t>300-1 Financial Svcs Regul-State</t>
  </si>
  <si>
    <t>142-Tax Appeals Board</t>
  </si>
  <si>
    <t>147-OMWBE</t>
  </si>
  <si>
    <t>198-1 Access Road Rev Acct-State</t>
  </si>
  <si>
    <t>453-1 Minority &amp; Business-State</t>
  </si>
  <si>
    <t>198-6 Access Road Rev Acct-Non-Appr</t>
  </si>
  <si>
    <t>199-1 Biosolids Prmt Acct-State</t>
  </si>
  <si>
    <t>160-Insurance Commission</t>
  </si>
  <si>
    <t>19B-6 School for the BA-Non-Appr</t>
  </si>
  <si>
    <t>24P-1 Insur Commiss Fraud-State</t>
  </si>
  <si>
    <t>19C-1 Forest Practices App-State</t>
  </si>
  <si>
    <t>163-Cons Tech Services</t>
  </si>
  <si>
    <t>19H-6 Center for CDHLA-Non-Appr</t>
  </si>
  <si>
    <t>458-1 CTS Revolving Acct-State</t>
  </si>
  <si>
    <t>19J-6 Universal Comm Svcs-Non-Appr</t>
  </si>
  <si>
    <t>458-6 CTS Revolving Acct-Non-Appr</t>
  </si>
  <si>
    <t>19L-1 Charter Sch Ovr Acct-State</t>
  </si>
  <si>
    <t>165-Bd of Accountancy</t>
  </si>
  <si>
    <t>166-Bd of Registration</t>
  </si>
  <si>
    <t>19T-1 DOL Tech Improve-State</t>
  </si>
  <si>
    <t>167-Forensic Investigatn</t>
  </si>
  <si>
    <t>179-Dept Enterprise Svcs</t>
  </si>
  <si>
    <t>19W-6 Wolf-Livestock Confl - Non-Appr</t>
  </si>
  <si>
    <t>200-2 Reg Fish Salmonid-Federal</t>
  </si>
  <si>
    <t>422-6 Enterprise Svc Acct-Non-Appr</t>
  </si>
  <si>
    <t>204-1 Volun Firefighters-State</t>
  </si>
  <si>
    <t>546-6 Risk Mgmt Admin Acct-Non-Appr</t>
  </si>
  <si>
    <t>547-6 Liability Account-Non-Appr</t>
  </si>
  <si>
    <t>206-6 Cost of Supervision-Non-Appr</t>
  </si>
  <si>
    <t>185-Horse Racing Comm</t>
  </si>
  <si>
    <t>207-1 Hazardous Waste-State</t>
  </si>
  <si>
    <t>485-6 WA Bred Owners'-Non-Appr</t>
  </si>
  <si>
    <t>209-6 Region Fisheries Enh-Non-Appr</t>
  </si>
  <si>
    <t>497-6 Class C Purse Acct-Non-Appr</t>
  </si>
  <si>
    <t>20E-1 WA Internet Crimes-State</t>
  </si>
  <si>
    <t>190-Indust Insur Appeals</t>
  </si>
  <si>
    <t>20H-1 Connecting WA Acct-State</t>
  </si>
  <si>
    <t>20H-T Connecting WA Acct-Bonds</t>
  </si>
  <si>
    <t>20J-1 Electric Vehicle-State</t>
  </si>
  <si>
    <t>195-Liquor Cannabis Bd</t>
  </si>
  <si>
    <t>20L-Y Early Start Account-Oth UAR</t>
  </si>
  <si>
    <t>20R-1 Radioactive Mixed-State</t>
  </si>
  <si>
    <t>20T-1 PLIA UST Revolving-State</t>
  </si>
  <si>
    <t>210-6 Fire Protection Cont-Non-Appr</t>
  </si>
  <si>
    <t>213-6 Veterans Emblem Acct-Non-Appr</t>
  </si>
  <si>
    <t>214-6 Temp Worker Housing-Non-Appr</t>
  </si>
  <si>
    <t>205-Pilotage Commiss</t>
  </si>
  <si>
    <t>215-1 Special Category C-State</t>
  </si>
  <si>
    <t>215-Utilities/Transport</t>
  </si>
  <si>
    <t>215-T Special Category C-Bonds</t>
  </si>
  <si>
    <t>216-1 Air Poll Contr Acct-State</t>
  </si>
  <si>
    <t>217-1 Oil Spill Prevn Acct-State</t>
  </si>
  <si>
    <t>218-7 Multimodal Acct-Local</t>
  </si>
  <si>
    <t>297-2 Pipeline Safety-Federal</t>
  </si>
  <si>
    <t>218-8 Multimodal Acct-Fed Stim</t>
  </si>
  <si>
    <t>219-1 Air Oper Permit Acct-State</t>
  </si>
  <si>
    <t>21C-6 Sexual Assault Kit-Non-Appr</t>
  </si>
  <si>
    <t>21E-1 Con Pistol Lic Renew-State</t>
  </si>
  <si>
    <t>220-Bd Volun Firefighter</t>
  </si>
  <si>
    <t>21H-1 WWT Plant Oper Cert-State</t>
  </si>
  <si>
    <t>225-State Patrol</t>
  </si>
  <si>
    <t>21N-1 NE WA Wolf-Livestock - State</t>
  </si>
  <si>
    <t>21Q-1 Forest Hlth Rev Acct-State</t>
  </si>
  <si>
    <t>21Q-6 Forest Hlth Rev Acct-Non-Appr</t>
  </si>
  <si>
    <t>21S-1 Aquat Invas Spec Mgt-State</t>
  </si>
  <si>
    <t>21V-1 Constr Regis Inspect-State</t>
  </si>
  <si>
    <t>223-1 Oil Spill Response-State</t>
  </si>
  <si>
    <t>225-1 Fngrprint ID Account-State</t>
  </si>
  <si>
    <t>22F-1 Fam Med Lv Insurance-State</t>
  </si>
  <si>
    <t>22G-6 Photovolt Mod Rcycl-Non-Appr</t>
  </si>
  <si>
    <t>22J-1 Abandoned RV Acct-State</t>
  </si>
  <si>
    <t>22N-6 F&amp;W Fed Lnds Rev-Non-Appr</t>
  </si>
  <si>
    <t>22P-1 Nat Rsrc Fed Lnds Rv-State</t>
  </si>
  <si>
    <t>22P-6 Nat Rsrc Fed Lnds Rv-Non-Appr</t>
  </si>
  <si>
    <t>22U-1 Secure Drug Takeback-State</t>
  </si>
  <si>
    <t>22V-6 Medical Student Loan-Non-Appr</t>
  </si>
  <si>
    <t>24T-6 Firearms Bckgrnd Chk-Non-Appr</t>
  </si>
  <si>
    <t>234-1 Public Works Admin-State</t>
  </si>
  <si>
    <t>515-6 DNA Data Base Acct-Non-Appr</t>
  </si>
  <si>
    <t>235-1 Youth Tobacco/Vapor-State</t>
  </si>
  <si>
    <t>23A-6 Student Ln Advocate-Non-Appr</t>
  </si>
  <si>
    <t>23M-6 CRAB Emer Loan Acct-Non-Appr</t>
  </si>
  <si>
    <t>23P-7 Model Toxics Oper-Local</t>
  </si>
  <si>
    <t>23S-1 PS Gateway Facility-State</t>
  </si>
  <si>
    <t>471-6 St Patrol N A R Acct-Non-Appr</t>
  </si>
  <si>
    <t>23V-1 Voluntary Cleanup Ac-State</t>
  </si>
  <si>
    <t>511-1 Tacoma Narrows Toll-State</t>
  </si>
  <si>
    <t>23W-1 Paint Prdct Steward-State</t>
  </si>
  <si>
    <t>595-1 I-405/SR167 Exp Toll - State</t>
  </si>
  <si>
    <t>24A-6 Beh He Ln Rep Pr Acc-Non-Appr</t>
  </si>
  <si>
    <t>227-Criminal Justice Trn</t>
  </si>
  <si>
    <t>24G-6 Hemp Regulatory Acct-Non-Appr</t>
  </si>
  <si>
    <t>24K-1 Agy Finan Trans Acct-State</t>
  </si>
  <si>
    <t>24N-1 Fish Wildlife Consv-State</t>
  </si>
  <si>
    <t>228-Traffic Safety Comm</t>
  </si>
  <si>
    <t>24Q-1 Cooper Jones Active-State</t>
  </si>
  <si>
    <t>259-6 Coastal Crab-Non-Appr</t>
  </si>
  <si>
    <t>780-1 School Zone Safety-State</t>
  </si>
  <si>
    <t>25B-1 Unemp Ins Relief-State</t>
  </si>
  <si>
    <t>229-Ind Investigations</t>
  </si>
  <si>
    <t>25C-2 Elem Sec Sch Emrg Re-Federal</t>
  </si>
  <si>
    <t>235-Dept Labor &amp; Indust</t>
  </si>
  <si>
    <t>25P-1 Wildfire Forest Comm-State</t>
  </si>
  <si>
    <t>25Q-1 Clean Fuels Pgm Acct-State</t>
  </si>
  <si>
    <t>25R-6 Recycled Content Acc-Non-Appr</t>
  </si>
  <si>
    <t>25W-1 Driver License Tech-State</t>
  </si>
  <si>
    <t>262-1 Mfr Home Install/Trn-State</t>
  </si>
  <si>
    <t>267-1 Recreation Resources-State</t>
  </si>
  <si>
    <t>27D-6 Drvr Rsrc Cntr Fund-Non-Appr</t>
  </si>
  <si>
    <t>268-1 NOVA Program Account-State</t>
  </si>
  <si>
    <t>445-6 SI Emp ORA-Non-Appr</t>
  </si>
  <si>
    <t>269-1 Parks Renewal Acct-State</t>
  </si>
  <si>
    <t>269-7 Parks Renewal Acct-Local</t>
  </si>
  <si>
    <t>608-2 Accident Account-Federal</t>
  </si>
  <si>
    <t>26A-1 Carbon Emissions Red-State</t>
  </si>
  <si>
    <t>608-6 Accident Account-Non-Appr</t>
  </si>
  <si>
    <t>26G-7 Energy Fac Site Eval-Local</t>
  </si>
  <si>
    <t>609-2 Medical Aid Account-Federal</t>
  </si>
  <si>
    <t>609-6 Medical Aid Account-Non-Appr</t>
  </si>
  <si>
    <t>885-1 Plumbing Certificate-State</t>
  </si>
  <si>
    <t>26M-1 Climate Actv Transpo-State</t>
  </si>
  <si>
    <t>892-1 Pressure Systems Saf-State</t>
  </si>
  <si>
    <t>26N-1 Climate Transit Pgms-State</t>
  </si>
  <si>
    <t>240-Licensing</t>
  </si>
  <si>
    <t>26P-1 Move Ahead WA Acct-State</t>
  </si>
  <si>
    <t>26P-2 Move Ahead WA Acct-Federal</t>
  </si>
  <si>
    <t>26Q-2 Move Ahead WA Flex-Federal</t>
  </si>
  <si>
    <t>26T-6 WA Student Loan-Non-Appr</t>
  </si>
  <si>
    <t>298-1 Geologists' Account-State</t>
  </si>
  <si>
    <t>298-6 Geologists' Account-Non-Appr</t>
  </si>
  <si>
    <t>319-7 Public Health Supp-Local</t>
  </si>
  <si>
    <t>320-6 PS Crab Pot Buoy Tag-Non-Appr</t>
  </si>
  <si>
    <t>513-1 Derelict Vessel Rmv-State</t>
  </si>
  <si>
    <t>401-6 Correctional Industr-Non-Appr</t>
  </si>
  <si>
    <t>406-1 Sal &amp; Insur Incr-Rev - State</t>
  </si>
  <si>
    <t>408-6 Coastal Protec Acct-Non-Appr</t>
  </si>
  <si>
    <t>410-6 Transp Equipment Acc-Non-Appr</t>
  </si>
  <si>
    <t>245-Military Dept</t>
  </si>
  <si>
    <t>443-6 Data Proc-Hi Educ - Non-Appr</t>
  </si>
  <si>
    <t>444-6 Fish &amp; Wild Equip-Non-Appr</t>
  </si>
  <si>
    <t>463-6 WA College Sav Prog-Non-Appr</t>
  </si>
  <si>
    <t>275-Public Empl Relation</t>
  </si>
  <si>
    <t>300-DSHS</t>
  </si>
  <si>
    <t>480-6 Financial Education-Non-Appr</t>
  </si>
  <si>
    <t>489-1 Pension Fund Stabilz-State</t>
  </si>
  <si>
    <t>562-1 Skilled Nursing Fac-State</t>
  </si>
  <si>
    <t>496-6 Future Teachers-Non-Appr</t>
  </si>
  <si>
    <t>567-1 Long-Term Svcs &amp; Spt - State</t>
  </si>
  <si>
    <t>851-1 Dev Dis Comm Sv Acct-State</t>
  </si>
  <si>
    <t>503-6 Tuitn Recovery Trust-Non-Appr</t>
  </si>
  <si>
    <t>303-Dept of Health</t>
  </si>
  <si>
    <t>505-6 U of W Hospital-Non-Appr</t>
  </si>
  <si>
    <t>507-1 Oyster Reserve Land-State</t>
  </si>
  <si>
    <t>516-6 Fruit/Vegetable Insp-Non-Appr</t>
  </si>
  <si>
    <t>535-1 Alaskan Way Viaduct-State</t>
  </si>
  <si>
    <t>536-6 Federal Food Service-Non-Appr</t>
  </si>
  <si>
    <t>544-1 Pollution Liab Insur-State</t>
  </si>
  <si>
    <t>545-6 Heating Oil Pollut-Non-Appr</t>
  </si>
  <si>
    <t>548-6 LEOFF Plan 2 Expense-Non-Appr</t>
  </si>
  <si>
    <t>550-1 Transp 2003 (Nickel)-State</t>
  </si>
  <si>
    <t>561-6 Comm/Tech College In-Non-Appr</t>
  </si>
  <si>
    <t>564-1 Water Poll Ctrl Adm-State</t>
  </si>
  <si>
    <t>566-1 Comm Forest Trust-State</t>
  </si>
  <si>
    <t>571-1 Multiuse Roadway Saf-State</t>
  </si>
  <si>
    <t>704-6 Covid19PubHeaRespAcc-Non-Appr</t>
  </si>
  <si>
    <t>305-Veterans' Affairs</t>
  </si>
  <si>
    <t>307-Child, Youth, Family</t>
  </si>
  <si>
    <t>747-1 Hlth Profsnl Loan/Sc-State</t>
  </si>
  <si>
    <t>747-6 Hlth Profsnl Loan/Sc-Non-Appr</t>
  </si>
  <si>
    <t>748-6 WA Career/College In-Non-Appr</t>
  </si>
  <si>
    <t>785-6 State Ed Trust Fund-Non-Appr</t>
  </si>
  <si>
    <t>788-6 Adv College Tuit Pay-Non-Appr</t>
  </si>
  <si>
    <t>818-1 Youth Athletic Facil-State</t>
  </si>
  <si>
    <t>823-6 Livestock Nutr Mgmt-Non-Appr</t>
  </si>
  <si>
    <t>830-1 Agric College Trst-State</t>
  </si>
  <si>
    <t>835-6 4-Yr St Child Care - Non-Appr</t>
  </si>
  <si>
    <t>310-Corrections</t>
  </si>
  <si>
    <t>315-Svcs for the Blind</t>
  </si>
  <si>
    <t>340-Student Achievement</t>
  </si>
  <si>
    <t>341-LEOFF 2 Retire Bd</t>
  </si>
  <si>
    <t>351-School for the Blind</t>
  </si>
  <si>
    <t>353-Child Deaf Hrng Loss</t>
  </si>
  <si>
    <t>354-Workforce Trng/Ed Bd</t>
  </si>
  <si>
    <t>355-Arch/Historic Preser</t>
  </si>
  <si>
    <t>360-U W</t>
  </si>
  <si>
    <t>365-W S U</t>
  </si>
  <si>
    <t>370-E W U</t>
  </si>
  <si>
    <t>375-C W U</t>
  </si>
  <si>
    <t>376-T E S C</t>
  </si>
  <si>
    <t>380-W W U</t>
  </si>
  <si>
    <t>387-Arts Commission</t>
  </si>
  <si>
    <t>390-Historical Society</t>
  </si>
  <si>
    <t>395-East WA St Hist</t>
  </si>
  <si>
    <t>405-Dept Transportation</t>
  </si>
  <si>
    <t>406-County Road Admin Bd</t>
  </si>
  <si>
    <t>407-Transpo Improve Bd</t>
  </si>
  <si>
    <t>410-Transportation Comm</t>
  </si>
  <si>
    <t>411-FMSIB</t>
  </si>
  <si>
    <t>460-Columbia River Gorge</t>
  </si>
  <si>
    <t>461-Dept of Ecology</t>
  </si>
  <si>
    <t>462-Pollution Liab Insur</t>
  </si>
  <si>
    <t>463-Energy Fac Site Eval</t>
  </si>
  <si>
    <t>465-Parks &amp; Rec Comm</t>
  </si>
  <si>
    <t>467-Rec &amp; Conservation</t>
  </si>
  <si>
    <t>468-Env &amp; Land Use Hrg</t>
  </si>
  <si>
    <t>471-Conservation Comm</t>
  </si>
  <si>
    <t>477-Fish &amp; Wildlife</t>
  </si>
  <si>
    <t>478-Puget Sound Partner</t>
  </si>
  <si>
    <t>495-Agriculture</t>
  </si>
  <si>
    <t>540-Employment Security</t>
  </si>
  <si>
    <t>699-C T C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</si>
</sst>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 h:mm AM/PM;@"/>
  </numFmts>
  <fonts count="10" x14ac:knownFonts="1">
    <font>
      <color theme="1"/>
      <family val="2"/>
      <scheme val="minor"/>
      <sz val="11"/>
      <name val="Calibri"/>
    </font>
    <font>
      <family val="2"/>
      <sz val="10"/>
      <name val="Arial"/>
    </font>
    <font>
      <b/>
      <family val="2"/>
      <sz val="12"/>
      <name val="Arial"/>
    </font>
    <font>
      <color rgb="FFFF0000"/>
      <family val="2"/>
      <sz val="10"/>
      <name val="Arial"/>
    </font>
    <font>
      <color rgb="FFFF0000"/>
      <family val="2"/>
      <sz val="9"/>
      <name val="Arial"/>
    </font>
    <font>
      <b/>
      <family val="2"/>
      <sz val="10"/>
      <name val="Arial"/>
    </font>
    <font>
      <b/>
      <color theme="0"/>
      <family val="2"/>
      <scheme val="minor"/>
      <sz val="11"/>
      <name val="Calibri"/>
    </font>
    <font>
      <b/>
      <family val="2"/>
      <scheme val="minor"/>
      <sz val="11"/>
      <name val="Calibri"/>
    </font>
    <font>
      <b/>
      <color theme="0"/>
      <family val="2"/>
      <sz val="10"/>
      <name val="Arial"/>
    </font>
    <font>
      <color theme="1"/>
      <family val="2"/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8" tint="0.7999816888943144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left"/>
    </xf>
    <xf numFmtId="0" fontId="1" fillId="2" borderId="0" xfId="0" applyFont="1" applyFill="1" applyProtection="1">
      <protection locked="0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2" borderId="0" xfId="0" applyFont="1" applyFill="1"/>
    <xf numFmtId="164" fontId="1" fillId="0" borderId="0" xfId="0" applyNumberFormat="1" applyFont="1"/>
    <xf numFmtId="0" fontId="1" fillId="3" borderId="0" xfId="0" applyFont="1" applyFill="1"/>
    <xf numFmtId="0" fontId="4" fillId="0" borderId="0" xfId="0" applyFont="1" applyAlignment="1">
      <alignment horizontal="left" indent="2"/>
    </xf>
    <xf numFmtId="0" fontId="5" fillId="0" borderId="1" xfId="0" applyFont="1" applyBorder="1" applyAlignment="1">
      <alignment horizontal="centerContinuous"/>
    </xf>
    <xf numFmtId="0" fontId="5" fillId="0" borderId="2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6" fillId="4" borderId="4" xfId="0" applyFont="1" applyFill="1" applyBorder="1" applyAlignment="1">
      <alignment wrapText="1"/>
    </xf>
    <xf numFmtId="0" fontId="6" fillId="4" borderId="5" xfId="0" applyFont="1" applyFill="1" applyBorder="1" applyAlignment="1">
      <alignment wrapText="1"/>
    </xf>
    <xf numFmtId="0" fontId="6" fillId="4" borderId="5" xfId="0" applyFont="1" applyFill="1" applyBorder="1"/>
    <xf numFmtId="0" fontId="6" fillId="4" borderId="5" xfId="0" applyFont="1" applyFill="1" applyBorder="1" applyAlignment="1">
      <alignment horizontal="left"/>
    </xf>
    <xf numFmtId="0" fontId="6" fillId="4" borderId="0" xfId="0" applyFont="1" applyFill="1" applyAlignment="1">
      <alignment horizontal="center" wrapText="1"/>
    </xf>
    <xf numFmtId="0" fontId="7" fillId="5" borderId="6" xfId="0" applyFont="1" applyFill="1" applyBorder="1"/>
    <xf numFmtId="0" fontId="7" fillId="5" borderId="6" xfId="0" applyFont="1" applyFill="1" applyBorder="1" applyAlignment="1">
      <alignment horizontal="left"/>
    </xf>
    <xf numFmtId="0" fontId="6" fillId="5" borderId="6" xfId="0" applyFont="1" applyFill="1" applyBorder="1"/>
    <xf numFmtId="10" fontId="1" fillId="5" borderId="6" xfId="0" applyNumberFormat="1" applyFont="1" applyFill="1" applyBorder="1" applyAlignment="1">
      <alignment wrapText="1"/>
    </xf>
    <xf numFmtId="10" fontId="1" fillId="0" borderId="0" xfId="0" applyNumberFormat="1" applyFont="1"/>
    <xf numFmtId="49" fontId="1" fillId="0" borderId="0" xfId="0" applyNumberFormat="1" applyFont="1"/>
    <xf numFmtId="0" fontId="5" fillId="6" borderId="0" xfId="0" applyFont="1" applyFill="1"/>
    <xf numFmtId="49" fontId="5" fillId="0" borderId="7" xfId="0" applyNumberFormat="1" applyFont="1" applyBorder="1"/>
    <xf numFmtId="0" fontId="8" fillId="7" borderId="8" xfId="0" applyFont="1" applyFill="1" applyBorder="1"/>
    <xf numFmtId="0" fontId="8" fillId="7" borderId="9" xfId="0" applyFont="1" applyFill="1" applyBorder="1"/>
    <xf numFmtId="0" fontId="8" fillId="0" borderId="0" xfId="0" applyFont="1"/>
    <xf numFmtId="49" fontId="1" fillId="0" borderId="10" xfId="0" applyNumberFormat="1" applyFont="1" applyBorder="1"/>
    <xf numFmtId="0" fontId="9" fillId="0" borderId="0" xfId="0" applyFont="1"/>
    <xf numFmtId="49" fontId="9" fillId="8" borderId="11" xfId="0" applyNumberFormat="1" applyFont="1" applyFill="1" applyBorder="1"/>
    <xf numFmtId="49" fontId="9" fillId="8" borderId="12" xfId="0" applyNumberFormat="1" applyFont="1" applyFill="1" applyBorder="1"/>
    <xf numFmtId="49" fontId="9" fillId="8" borderId="13" xfId="0" applyNumberFormat="1" applyFont="1" applyFill="1" applyBorder="1"/>
    <xf numFmtId="49" fontId="9" fillId="0" borderId="11" xfId="0" applyNumberFormat="1" applyFont="1" applyBorder="1"/>
    <xf numFmtId="49" fontId="9" fillId="0" borderId="12" xfId="0" applyNumberFormat="1" applyFont="1" applyBorder="1"/>
    <xf numFmtId="49" fontId="9" fillId="0" borderId="13" xfId="0" applyNumberFormat="1" applyFont="1" applyBorder="1"/>
    <xf numFmtId="49" fontId="1" fillId="0" borderId="14" xfId="0" applyNumberFormat="1" applyFont="1" applyBorder="1"/>
    <xf numFmtId="49" fontId="1" fillId="9" borderId="0" xfId="0" applyNumberFormat="1" applyFont="1" applyFill="1"/>
    <xf numFmtId="49" fontId="9" fillId="8" borderId="8" xfId="0" applyNumberFormat="1" applyFont="1" applyFill="1" applyBorder="1"/>
    <xf numFmtId="49" fontId="9" fillId="8" borderId="9" xfId="0" applyNumberFormat="1" applyFont="1" applyFill="1" applyBorder="1"/>
    <xf numFmtId="49" fontId="9" fillId="0" borderId="15" xfId="0" applyNumberFormat="1" applyFont="1" applyBorder="1"/>
  </cellXfs>
  <cellStyles count="1">
    <cellStyle name="Normal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2.xml"/><Relationship Id="rId6" Type="http://schemas.microsoft.com/office/2006/relationships/vbaProject" Target="vbaProject.bin"/><Relationship Id="rId7" Type="http://schemas.openxmlformats.org/officeDocument/2006/relationships/customXml" Target="../customXml/item1.xml"/><Relationship Id="rId8" Type="http://schemas.openxmlformats.org/officeDocument/2006/relationships/customXml" Target="../customXml/item2.xml"/><Relationship Id="rId9" Type="http://schemas.openxmlformats.org/officeDocument/2006/relationships/customXml" Target="../customXml/item3.xml"/><Relationship Id="rId10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llam Oversight ActiveFunds" connectionId="1" xr16:uid="{00000000-0016-0000-0300-000000000000}" autoFormatId="16" applyNumberFormats="0" applyBorderFormats="0" applyFontFormats="0" applyPatternFormats="0" applyAlignmentFormats="0" applyWidthHeightFormats="0">
  <queryTableRefresh nextId="24" unboundColumnsRight="1">
    <queryTableFields count="3">
      <queryTableField id="21" name="Agency" tableColumnId="21"/>
      <queryTableField id="19" name="Fund" tableColumnId="19"/>
      <queryTableField id="23" dataBound="0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llam Titles Entity" connectionId="2" xr16:uid="{00000000-0016-0000-0300-000001000000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Agency" tableColumnId="1"/>
      <queryTableField id="2" name="Program" tableColumnId="2"/>
      <queryTableField id="3" name="BudgetType" tableColumnId="3"/>
      <queryTableField id="4" name="SummFlag" tableColumnId="4"/>
      <queryTableField id="5" name="ProgramTitle6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clallam_Oversight_ActiveFunds" displayName="Table_clallam_Oversight_ActiveFunds" ref="C3:E863" tableType="queryTable" totalsRowShown="0">
  <autoFilter ref="C3:E863" xr:uid="{00000000-0009-0000-0100-000001000000}"/>
  <sortState xmlns:xlrd2="http://schemas.microsoft.com/office/spreadsheetml/2017/richdata2" ref="C4:E862">
    <sortCondition ref="C4:C862"/>
    <sortCondition ref="D4:D862"/>
  </sortState>
  <tableColumns count="3">
    <tableColumn id="21" xr3:uid="{00000000-0010-0000-0000-000015000000}" uniqueName="21" name="Agency" queryTableFieldId="21"/>
    <tableColumn id="19" xr3:uid="{00000000-0010-0000-0000-000013000000}" uniqueName="19" name="Fund" queryTableFieldId="19"/>
    <tableColumn id="22" xr3:uid="{00000000-0010-0000-0000-000016000000}" uniqueName="22" name="Column1" queryTableFieldId="23" dataDxfId="8">
      <calculatedColumnFormula>LEFT(Table_clallam_Oversight_ActiveFunds[[#This Row],[Fund]],5)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lallam_Titles_Entity" displayName="Table_clallam_Titles_Entity" ref="O3:T78" tableType="queryTable" totalsRowShown="0" headerRowDxfId="7" dataDxfId="6">
  <autoFilter ref="O3:T78" xr:uid="{00000000-0009-0000-0100-000002000000}"/>
  <tableColumns count="6">
    <tableColumn id="1" xr3:uid="{00000000-0010-0000-0100-000001000000}" uniqueName="1" name="Agency" queryTableFieldId="1" dataDxfId="5"/>
    <tableColumn id="2" xr3:uid="{00000000-0010-0000-0100-000002000000}" uniqueName="2" name="ProgramCode" queryTableFieldId="2" dataDxfId="4"/>
    <tableColumn id="3" xr3:uid="{00000000-0010-0000-0100-000003000000}" uniqueName="3" name="BudgetType" queryTableFieldId="3" dataDxfId="3"/>
    <tableColumn id="4" xr3:uid="{00000000-0010-0000-0100-000004000000}" uniqueName="4" name="SummFlag" queryTableFieldId="4" dataDxfId="2"/>
    <tableColumn id="5" xr3:uid="{00000000-0010-0000-0100-000005000000}" uniqueName="5" name="ProgramTitle60" queryTableFieldId="5" dataDxfId="1"/>
    <tableColumn id="6" xr3:uid="{00000000-0010-0000-0100-000006000000}" uniqueName="6" name="Program2" queryTableFieldId="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864"/>
  <sheetViews>
    <sheetView workbookViewId="0" zoomScale="100" zoomScaleNormal="100">
      <selection activeCell="M54" sqref="M54"/>
    </sheetView>
  </sheetViews>
  <sheetFormatPr defaultRowHeight="12.75" outlineLevelRow="0" outlineLevelCol="0" x14ac:dyDescent="0.2" customHeight="1"/>
  <cols>
    <col min="3" max="3" width="38" customWidth="1"/>
    <col min="4" max="4" width="62.28515625" customWidth="1"/>
    <col min="6" max="7" width="7.85546875" customWidth="1"/>
    <col min="8" max="8" width="14.28515625" customWidth="1"/>
    <col min="9" max="9" width="39" customWidth="1"/>
    <col min="10" max="10" width="12" customWidth="1"/>
    <col min="11" max="11" width="13.85546875" customWidth="1"/>
    <col min="12" max="12" width="62.28515625" customWidth="1"/>
    <col min="13" max="13" width="4.7109375" customWidth="1"/>
    <col min="14" max="14" width="18.7109375" customWidth="1"/>
    <col min="15" max="15" width="10" style="23" customWidth="1"/>
    <col min="16" max="16" width="11.140625" style="23" customWidth="1"/>
    <col min="17" max="17" width="14.140625" style="23" customWidth="1"/>
    <col min="18" max="18" width="13.140625" style="23" customWidth="1"/>
    <col min="19" max="19" width="53.28515625" style="23" customWidth="1"/>
    <col min="20" max="20" width="35" style="23" customWidth="1"/>
    <col min="21" max="21" width="35" customWidth="1"/>
    <col min="22" max="23" width="7" customWidth="1"/>
    <col min="24" max="24" width="7.42578125" style="23" customWidth="1"/>
    <col min="25" max="25" width="6.28515625" style="23" customWidth="1"/>
    <col min="26" max="26" width="15.140625" style="23" customWidth="1"/>
    <col min="27" max="27" width="18" style="23" customWidth="1"/>
    <col min="28" max="28" width="14.5703125" style="23" customWidth="1"/>
    <col min="29" max="29" width="19.28515625" customWidth="1"/>
    <col min="30" max="30" width="12.140625" customWidth="1"/>
    <col min="31" max="31" width="21.7109375" customWidth="1"/>
    <col min="32" max="32" width="35.140625" customWidth="1"/>
    <col min="33" max="33" width="47" customWidth="1"/>
  </cols>
  <sheetData>
    <row r="1" ht="13.5" customHeight="1" spans="11:19" x14ac:dyDescent="0.25">
      <c r="K1" s="24">
        <f>COUNTIF(AgencyFund,Agency)</f>
        <v>0</v>
      </c>
      <c r="N1" s="7" t="s">
        <v>24</v>
      </c>
      <c r="O1" s="23" t="e">
        <f>IF(pgmcheck=1,OFFSET(AgencyProgram,MATCH((AgyCode),AgencyProgram,0)-1,4,COUNTIF(AgencyProgram,AgyCode)),PgmList)</f>
        <v>#VALUE!</v>
      </c>
      <c r="S1" s="23" t="s">
        <v>672</v>
      </c>
    </row>
    <row r="2" ht="13.5" customHeight="1" spans="3:24" x14ac:dyDescent="0.25">
      <c r="C2" t="s">
        <v>673</v>
      </c>
      <c r="I2" t="s">
        <v>674</v>
      </c>
      <c r="L2" t="s">
        <v>675</v>
      </c>
      <c r="O2" s="23" t="s">
        <v>676</v>
      </c>
      <c r="Q2" s="23">
        <f>IFERROR(INDEX($N$4:$N$67,MATCH(AgyCode,Table_clallam_Titles_Entity[Agency],0)),0)</f>
        <v>0</v>
      </c>
      <c r="S2" s="23">
        <f>IF(pgmcheck=1,OFFSET(AgencyProgram,MATCH((AgyCode),AgencyProgram,0)-1,4,COUNTIF(AgencyProgram,AgyCode)),OFFSET(pgmcheck,0,1))</f>
        <v>0</v>
      </c>
      <c r="T2" s="23" t="e">
        <f>IF(pgmcheck=1,OFFSET(AgencyProgram,MATCH((AgyCode),AgencyProgram,0)-1,4,COUNTIF(AgencyProgram,AgyCode)),PgmList)</f>
        <v>#VALUE!</v>
      </c>
      <c r="X2" s="25" t="s">
        <v>677</v>
      </c>
    </row>
    <row r="3" spans="3:28" x14ac:dyDescent="0.25">
      <c r="C3" t="s">
        <v>8</v>
      </c>
      <c r="D3" t="s">
        <v>678</v>
      </c>
      <c r="E3" t="s">
        <v>679</v>
      </c>
      <c r="I3" s="26" t="s">
        <v>8</v>
      </c>
      <c r="L3" s="27" t="s">
        <v>678</v>
      </c>
      <c r="M3" s="28"/>
      <c r="O3" s="23" t="s">
        <v>8</v>
      </c>
      <c r="P3" s="23" t="s">
        <v>680</v>
      </c>
      <c r="Q3" s="23" t="s">
        <v>681</v>
      </c>
      <c r="R3" s="23" t="s">
        <v>682</v>
      </c>
      <c r="S3" s="23" t="s">
        <v>683</v>
      </c>
      <c r="T3" s="23" t="s">
        <v>684</v>
      </c>
      <c r="X3" s="29" t="s">
        <v>685</v>
      </c>
      <c r="Y3" s="23" t="s">
        <v>9</v>
      </c>
      <c r="Z3" s="23" t="s">
        <v>686</v>
      </c>
      <c r="AA3" s="23" t="s">
        <v>687</v>
      </c>
      <c r="AB3" s="23" t="s">
        <v>688</v>
      </c>
    </row>
    <row r="4" ht="15" customHeight="1" spans="1:28" x14ac:dyDescent="0.25">
      <c r="A4">
        <v>1</v>
      </c>
      <c r="B4" t="str">
        <f>LEFT(Table_clallam_Oversight_ActiveFunds[[#This Row],[Agency]],3)</f>
        <v>011</v>
      </c>
      <c r="C4" t="s">
        <v>689</v>
      </c>
      <c r="D4" t="s">
        <v>28</v>
      </c>
      <c r="E4" t="str">
        <f>LEFT(Table_clallam_Oversight_ActiveFunds[[#This Row],[Fund]],5)</f>
        <v>001-1</v>
      </c>
      <c r="G4" t="str">
        <f>LEFT(I4,3)</f>
        <v>011</v>
      </c>
      <c r="H4">
        <v>1</v>
      </c>
      <c r="I4" t="s">
        <v>690</v>
      </c>
      <c r="J4" t="str">
        <f t="shared" ref="J4:J35" si="0">LEFT(I4,3)</f>
        <v>011</v>
      </c>
      <c r="K4" t="str">
        <f>MID(L4,1,5)</f>
        <v>001-0</v>
      </c>
      <c r="L4" t="s">
        <v>691</v>
      </c>
      <c r="M4" s="30"/>
      <c r="N4">
        <v>1</v>
      </c>
      <c r="O4" s="31" t="s">
        <v>135</v>
      </c>
      <c r="P4" s="32" t="s">
        <v>136</v>
      </c>
      <c r="Q4" s="32" t="s">
        <v>692</v>
      </c>
      <c r="R4" s="32" t="s">
        <v>693</v>
      </c>
      <c r="S4" s="32" t="s">
        <v>694</v>
      </c>
      <c r="T4" s="33" t="s">
        <v>695</v>
      </c>
      <c r="V4">
        <v>1</v>
      </c>
      <c r="W4" s="23" t="str">
        <f>X4&amp;Y4</f>
        <v>300030</v>
      </c>
      <c r="X4" s="29" t="s">
        <v>132</v>
      </c>
      <c r="Y4" s="23" t="s">
        <v>389</v>
      </c>
      <c r="Z4" s="23" t="s">
        <v>696</v>
      </c>
      <c r="AA4" s="23" t="s">
        <v>697</v>
      </c>
      <c r="AB4" s="23" t="s">
        <v>698</v>
      </c>
    </row>
    <row r="5" ht="15" customHeight="1" spans="1:28" x14ac:dyDescent="0.25">
      <c r="A5">
        <v>1</v>
      </c>
      <c r="B5" t="str">
        <f>LEFT(Table_clallam_Oversight_ActiveFunds[[#This Row],[Agency]],3)</f>
        <v>011</v>
      </c>
      <c r="C5" t="s">
        <v>689</v>
      </c>
      <c r="D5" t="s">
        <v>699</v>
      </c>
      <c r="E5" t="str">
        <f>LEFT(Table_clallam_Oversight_ActiveFunds[[#This Row],[Fund]],5)</f>
        <v>108-1</v>
      </c>
      <c r="G5" t="str">
        <f t="shared" ref="G5:G68" si="1">LEFT(I5,3)</f>
        <v>012</v>
      </c>
      <c r="H5">
        <v>2</v>
      </c>
      <c r="I5" t="s">
        <v>700</v>
      </c>
      <c r="J5" t="str">
        <f t="shared" si="0"/>
        <v>012</v>
      </c>
      <c r="K5" t="str">
        <f t="shared" ref="K5:K68" si="2">MID(L5,1,5)</f>
        <v>001-1</v>
      </c>
      <c r="L5" t="s">
        <v>28</v>
      </c>
      <c r="M5" s="30"/>
      <c r="N5">
        <v>1</v>
      </c>
      <c r="O5" s="34" t="s">
        <v>135</v>
      </c>
      <c r="P5" s="35" t="s">
        <v>701</v>
      </c>
      <c r="Q5" s="35" t="s">
        <v>692</v>
      </c>
      <c r="R5" s="35" t="s">
        <v>693</v>
      </c>
      <c r="S5" s="35" t="s">
        <v>702</v>
      </c>
      <c r="T5" s="36" t="s">
        <v>703</v>
      </c>
      <c r="V5">
        <v>1</v>
      </c>
      <c r="W5" s="23" t="str">
        <f t="shared" ref="W5:W8" si="3">X5&amp;Y5</f>
        <v>300040</v>
      </c>
      <c r="X5" s="37" t="s">
        <v>132</v>
      </c>
      <c r="Y5" s="23" t="s">
        <v>51</v>
      </c>
      <c r="Z5" s="23" t="s">
        <v>704</v>
      </c>
      <c r="AA5" s="23" t="s">
        <v>705</v>
      </c>
      <c r="AB5" s="23" t="s">
        <v>706</v>
      </c>
    </row>
    <row r="6" ht="15" customHeight="1" spans="1:28" x14ac:dyDescent="0.25">
      <c r="A6">
        <v>1</v>
      </c>
      <c r="B6" t="str">
        <f>LEFT(Table_clallam_Oversight_ActiveFunds[[#This Row],[Agency]],3)</f>
        <v>012</v>
      </c>
      <c r="C6" t="s">
        <v>30</v>
      </c>
      <c r="D6" t="s">
        <v>28</v>
      </c>
      <c r="E6" t="str">
        <f>LEFT(Table_clallam_Oversight_ActiveFunds[[#This Row],[Fund]],5)</f>
        <v>001-1</v>
      </c>
      <c r="G6" t="str">
        <f t="shared" si="1"/>
        <v>013</v>
      </c>
      <c r="H6">
        <v>3</v>
      </c>
      <c r="I6" t="s">
        <v>707</v>
      </c>
      <c r="J6" t="str">
        <f t="shared" si="0"/>
        <v>013</v>
      </c>
      <c r="K6" t="str">
        <f t="shared" si="2"/>
        <v>001-2</v>
      </c>
      <c r="L6" t="s">
        <v>144</v>
      </c>
      <c r="M6" s="30"/>
      <c r="N6">
        <v>1</v>
      </c>
      <c r="O6" s="31" t="s">
        <v>135</v>
      </c>
      <c r="P6" s="32" t="s">
        <v>174</v>
      </c>
      <c r="Q6" s="32" t="s">
        <v>692</v>
      </c>
      <c r="R6" s="32" t="s">
        <v>693</v>
      </c>
      <c r="S6" s="32" t="s">
        <v>708</v>
      </c>
      <c r="T6" s="33" t="s">
        <v>175</v>
      </c>
      <c r="V6">
        <v>1</v>
      </c>
      <c r="W6" s="23" t="str">
        <f t="shared" si="3"/>
        <v>300040</v>
      </c>
      <c r="X6" s="23" t="s">
        <v>132</v>
      </c>
      <c r="Y6" s="23" t="s">
        <v>51</v>
      </c>
      <c r="Z6" s="23" t="s">
        <v>696</v>
      </c>
      <c r="AA6" s="23" t="s">
        <v>709</v>
      </c>
      <c r="AB6" s="23" t="s">
        <v>710</v>
      </c>
    </row>
    <row r="7" ht="15" customHeight="1" spans="1:28" x14ac:dyDescent="0.25">
      <c r="A7">
        <v>1</v>
      </c>
      <c r="B7" t="str">
        <f>LEFT(Table_clallam_Oversight_ActiveFunds[[#This Row],[Agency]],3)</f>
        <v>012</v>
      </c>
      <c r="C7" t="s">
        <v>30</v>
      </c>
      <c r="D7" t="s">
        <v>699</v>
      </c>
      <c r="E7" t="str">
        <f>LEFT(Table_clallam_Oversight_ActiveFunds[[#This Row],[Fund]],5)</f>
        <v>108-1</v>
      </c>
      <c r="G7" t="str">
        <f t="shared" si="1"/>
        <v>014</v>
      </c>
      <c r="H7">
        <v>4</v>
      </c>
      <c r="I7" t="s">
        <v>711</v>
      </c>
      <c r="J7" t="str">
        <f t="shared" si="0"/>
        <v>014</v>
      </c>
      <c r="K7" t="str">
        <f t="shared" si="2"/>
        <v>001-7</v>
      </c>
      <c r="L7" t="s">
        <v>712</v>
      </c>
      <c r="M7" s="30"/>
      <c r="N7">
        <v>1</v>
      </c>
      <c r="O7" s="31" t="s">
        <v>135</v>
      </c>
      <c r="P7" s="32" t="s">
        <v>159</v>
      </c>
      <c r="Q7" s="32" t="s">
        <v>692</v>
      </c>
      <c r="R7" s="32" t="s">
        <v>693</v>
      </c>
      <c r="S7" s="32" t="s">
        <v>713</v>
      </c>
      <c r="T7" s="36" t="s">
        <v>160</v>
      </c>
      <c r="V7">
        <v>1</v>
      </c>
      <c r="W7" s="23" t="str">
        <f t="shared" si="3"/>
        <v>300040</v>
      </c>
      <c r="X7" s="38" t="s">
        <v>132</v>
      </c>
      <c r="Y7" s="23" t="s">
        <v>51</v>
      </c>
      <c r="Z7" s="23" t="s">
        <v>714</v>
      </c>
      <c r="AA7" s="23" t="s">
        <v>715</v>
      </c>
      <c r="AB7" s="23" t="s">
        <v>716</v>
      </c>
    </row>
    <row r="8" ht="15" customHeight="1" spans="1:28" x14ac:dyDescent="0.25">
      <c r="A8">
        <v>1</v>
      </c>
      <c r="B8" t="str">
        <f>LEFT(Table_clallam_Oversight_ActiveFunds[[#This Row],[Agency]],3)</f>
        <v>013</v>
      </c>
      <c r="C8" t="s">
        <v>717</v>
      </c>
      <c r="D8" t="s">
        <v>699</v>
      </c>
      <c r="E8" t="str">
        <f>LEFT(Table_clallam_Oversight_ActiveFunds[[#This Row],[Fund]],5)</f>
        <v>108-1</v>
      </c>
      <c r="G8" t="str">
        <f t="shared" si="1"/>
        <v>020</v>
      </c>
      <c r="H8">
        <v>5</v>
      </c>
      <c r="I8" t="s">
        <v>718</v>
      </c>
      <c r="J8" t="str">
        <f t="shared" si="0"/>
        <v>020</v>
      </c>
      <c r="K8" t="str">
        <f t="shared" si="2"/>
        <v>001-A</v>
      </c>
      <c r="L8" t="s">
        <v>719</v>
      </c>
      <c r="M8" s="30"/>
      <c r="N8">
        <v>1</v>
      </c>
      <c r="O8" s="34" t="s">
        <v>135</v>
      </c>
      <c r="P8" s="35" t="s">
        <v>164</v>
      </c>
      <c r="Q8" s="35" t="s">
        <v>692</v>
      </c>
      <c r="R8" s="35" t="s">
        <v>693</v>
      </c>
      <c r="S8" s="35" t="s">
        <v>720</v>
      </c>
      <c r="T8" s="33" t="s">
        <v>165</v>
      </c>
      <c r="V8">
        <v>1</v>
      </c>
      <c r="W8" s="23" t="str">
        <f t="shared" si="3"/>
        <v>300040</v>
      </c>
      <c r="X8" s="23" t="s">
        <v>132</v>
      </c>
      <c r="Y8" s="23" t="s">
        <v>51</v>
      </c>
      <c r="Z8" s="23" t="s">
        <v>721</v>
      </c>
      <c r="AA8" s="23" t="s">
        <v>694</v>
      </c>
      <c r="AB8" s="23" t="s">
        <v>722</v>
      </c>
    </row>
    <row r="9" ht="15" customHeight="1" spans="1:20" x14ac:dyDescent="0.25">
      <c r="A9">
        <v>1</v>
      </c>
      <c r="B9" t="str">
        <f>LEFT(Table_clallam_Oversight_ActiveFunds[[#This Row],[Agency]],3)</f>
        <v>013</v>
      </c>
      <c r="C9" t="s">
        <v>717</v>
      </c>
      <c r="D9" t="s">
        <v>723</v>
      </c>
      <c r="E9" t="str">
        <f>LEFT(Table_clallam_Oversight_ActiveFunds[[#This Row],[Fund]],5)</f>
        <v>218-1</v>
      </c>
      <c r="G9" t="str">
        <f t="shared" si="1"/>
        <v>035</v>
      </c>
      <c r="H9">
        <v>6</v>
      </c>
      <c r="I9" t="s">
        <v>724</v>
      </c>
      <c r="J9" t="str">
        <f t="shared" si="0"/>
        <v>035</v>
      </c>
      <c r="K9" t="str">
        <f t="shared" si="2"/>
        <v>001-C</v>
      </c>
      <c r="L9" t="s">
        <v>725</v>
      </c>
      <c r="M9" s="30"/>
      <c r="N9">
        <v>1</v>
      </c>
      <c r="O9" s="31" t="s">
        <v>191</v>
      </c>
      <c r="P9" s="32" t="s">
        <v>726</v>
      </c>
      <c r="Q9" s="32" t="s">
        <v>692</v>
      </c>
      <c r="R9" s="32" t="s">
        <v>693</v>
      </c>
      <c r="S9" s="32" t="s">
        <v>727</v>
      </c>
      <c r="T9" s="36" t="s">
        <v>728</v>
      </c>
    </row>
    <row r="10" ht="15" customHeight="1" spans="1:20" x14ac:dyDescent="0.25">
      <c r="A10">
        <v>1</v>
      </c>
      <c r="B10" t="str">
        <f>LEFT(Table_clallam_Oversight_ActiveFunds[[#This Row],[Agency]],3)</f>
        <v>014</v>
      </c>
      <c r="C10" t="s">
        <v>729</v>
      </c>
      <c r="D10" t="s">
        <v>28</v>
      </c>
      <c r="E10" t="str">
        <f>LEFT(Table_clallam_Oversight_ActiveFunds[[#This Row],[Fund]],5)</f>
        <v>001-1</v>
      </c>
      <c r="G10" t="str">
        <f t="shared" si="1"/>
        <v>036</v>
      </c>
      <c r="H10">
        <v>7</v>
      </c>
      <c r="I10" t="s">
        <v>730</v>
      </c>
      <c r="J10" t="str">
        <f t="shared" si="0"/>
        <v>036</v>
      </c>
      <c r="K10" t="str">
        <f t="shared" si="2"/>
        <v>001-D</v>
      </c>
      <c r="L10" t="s">
        <v>731</v>
      </c>
      <c r="M10" s="30"/>
      <c r="N10">
        <v>1</v>
      </c>
      <c r="O10" s="34" t="s">
        <v>191</v>
      </c>
      <c r="P10" s="35" t="s">
        <v>732</v>
      </c>
      <c r="Q10" s="35" t="s">
        <v>692</v>
      </c>
      <c r="R10" s="35" t="s">
        <v>693</v>
      </c>
      <c r="S10" s="35" t="s">
        <v>733</v>
      </c>
      <c r="T10" s="33" t="s">
        <v>734</v>
      </c>
    </row>
    <row r="11" ht="15" customHeight="1" spans="1:20" x14ac:dyDescent="0.25">
      <c r="A11">
        <v>1</v>
      </c>
      <c r="B11" t="str">
        <f>LEFT(Table_clallam_Oversight_ActiveFunds[[#This Row],[Agency]],3)</f>
        <v>014</v>
      </c>
      <c r="C11" t="s">
        <v>729</v>
      </c>
      <c r="D11" t="s">
        <v>735</v>
      </c>
      <c r="E11" t="str">
        <f>LEFT(Table_clallam_Oversight_ActiveFunds[[#This Row],[Fund]],5)</f>
        <v>553-1</v>
      </c>
      <c r="G11" t="str">
        <f t="shared" si="1"/>
        <v>037</v>
      </c>
      <c r="H11">
        <v>8</v>
      </c>
      <c r="I11" t="s">
        <v>736</v>
      </c>
      <c r="J11" t="str">
        <f t="shared" si="0"/>
        <v>037</v>
      </c>
      <c r="K11" t="str">
        <f t="shared" si="2"/>
        <v>001-H</v>
      </c>
      <c r="L11" t="s">
        <v>737</v>
      </c>
      <c r="M11" s="30"/>
      <c r="N11">
        <v>1</v>
      </c>
      <c r="O11" s="31" t="s">
        <v>191</v>
      </c>
      <c r="P11" s="32" t="s">
        <v>738</v>
      </c>
      <c r="Q11" s="32" t="s">
        <v>692</v>
      </c>
      <c r="R11" s="32" t="s">
        <v>693</v>
      </c>
      <c r="S11" s="32" t="s">
        <v>739</v>
      </c>
      <c r="T11" s="36" t="s">
        <v>740</v>
      </c>
    </row>
    <row r="12" ht="15" customHeight="1" spans="1:20" x14ac:dyDescent="0.25">
      <c r="A12">
        <v>1</v>
      </c>
      <c r="B12" t="str">
        <f>LEFT(Table_clallam_Oversight_ActiveFunds[[#This Row],[Agency]],3)</f>
        <v>014</v>
      </c>
      <c r="C12" t="s">
        <v>729</v>
      </c>
      <c r="D12" t="s">
        <v>741</v>
      </c>
      <c r="E12" t="str">
        <f>LEFT(Table_clallam_Oversight_ActiveFunds[[#This Row],[Fund]],5)</f>
        <v>099-1</v>
      </c>
      <c r="G12" t="str">
        <f t="shared" si="1"/>
        <v>038</v>
      </c>
      <c r="H12">
        <v>9</v>
      </c>
      <c r="I12" t="s">
        <v>742</v>
      </c>
      <c r="J12" t="str">
        <f t="shared" si="0"/>
        <v>038</v>
      </c>
      <c r="K12" t="str">
        <f t="shared" si="2"/>
        <v>001-W</v>
      </c>
      <c r="L12" t="s">
        <v>743</v>
      </c>
      <c r="M12" s="30"/>
      <c r="N12">
        <v>1</v>
      </c>
      <c r="O12" s="34" t="s">
        <v>191</v>
      </c>
      <c r="P12" s="35" t="s">
        <v>744</v>
      </c>
      <c r="Q12" s="35" t="s">
        <v>692</v>
      </c>
      <c r="R12" s="35" t="s">
        <v>693</v>
      </c>
      <c r="S12" s="35" t="s">
        <v>745</v>
      </c>
      <c r="T12" s="33" t="s">
        <v>746</v>
      </c>
    </row>
    <row r="13" ht="15" customHeight="1" spans="1:20" x14ac:dyDescent="0.25">
      <c r="A13">
        <v>1</v>
      </c>
      <c r="B13" t="str">
        <f>LEFT(Table_clallam_Oversight_ActiveFunds[[#This Row],[Agency]],3)</f>
        <v>014</v>
      </c>
      <c r="C13" t="s">
        <v>729</v>
      </c>
      <c r="D13" t="s">
        <v>723</v>
      </c>
      <c r="E13" t="str">
        <f>LEFT(Table_clallam_Oversight_ActiveFunds[[#This Row],[Fund]],5)</f>
        <v>218-1</v>
      </c>
      <c r="G13" t="str">
        <f t="shared" si="1"/>
        <v>040</v>
      </c>
      <c r="H13">
        <v>10</v>
      </c>
      <c r="I13" t="s">
        <v>747</v>
      </c>
      <c r="J13" t="str">
        <f t="shared" si="0"/>
        <v>040</v>
      </c>
      <c r="K13" t="str">
        <f t="shared" si="2"/>
        <v>001-X</v>
      </c>
      <c r="L13" t="s">
        <v>748</v>
      </c>
      <c r="M13" s="30"/>
      <c r="N13">
        <v>1</v>
      </c>
      <c r="O13" s="31" t="s">
        <v>191</v>
      </c>
      <c r="P13" s="32" t="s">
        <v>749</v>
      </c>
      <c r="Q13" s="32" t="s">
        <v>692</v>
      </c>
      <c r="R13" s="32" t="s">
        <v>693</v>
      </c>
      <c r="S13" s="32" t="s">
        <v>750</v>
      </c>
      <c r="T13" s="36" t="s">
        <v>751</v>
      </c>
    </row>
    <row r="14" ht="15" customHeight="1" spans="1:20" x14ac:dyDescent="0.25">
      <c r="A14">
        <v>1</v>
      </c>
      <c r="B14" t="str">
        <f>LEFT(Table_clallam_Oversight_ActiveFunds[[#This Row],[Agency]],3)</f>
        <v>020</v>
      </c>
      <c r="C14" t="s">
        <v>40</v>
      </c>
      <c r="D14" t="s">
        <v>735</v>
      </c>
      <c r="E14" t="str">
        <f>LEFT(Table_clallam_Oversight_ActiveFunds[[#This Row],[Fund]],5)</f>
        <v>553-1</v>
      </c>
      <c r="G14" t="str">
        <f t="shared" si="1"/>
        <v>045</v>
      </c>
      <c r="H14">
        <v>11</v>
      </c>
      <c r="I14" t="s">
        <v>752</v>
      </c>
      <c r="J14" t="str">
        <f t="shared" si="0"/>
        <v>045</v>
      </c>
      <c r="K14" t="str">
        <f t="shared" si="2"/>
        <v>001-Y</v>
      </c>
      <c r="L14" t="s">
        <v>753</v>
      </c>
      <c r="M14" s="30"/>
      <c r="N14">
        <v>1</v>
      </c>
      <c r="O14" s="34" t="s">
        <v>303</v>
      </c>
      <c r="P14" s="35" t="s">
        <v>754</v>
      </c>
      <c r="Q14" s="35" t="s">
        <v>692</v>
      </c>
      <c r="R14" s="35" t="s">
        <v>693</v>
      </c>
      <c r="S14" s="35" t="s">
        <v>755</v>
      </c>
      <c r="T14" s="33" t="s">
        <v>756</v>
      </c>
    </row>
    <row r="15" ht="15" customHeight="1" spans="1:20" x14ac:dyDescent="0.25">
      <c r="A15">
        <v>1</v>
      </c>
      <c r="B15" t="str">
        <f>LEFT(Table_clallam_Oversight_ActiveFunds[[#This Row],[Agency]],3)</f>
        <v>020</v>
      </c>
      <c r="C15" t="s">
        <v>40</v>
      </c>
      <c r="D15" t="s">
        <v>699</v>
      </c>
      <c r="E15" t="str">
        <f>LEFT(Table_clallam_Oversight_ActiveFunds[[#This Row],[Fund]],5)</f>
        <v>108-1</v>
      </c>
      <c r="G15" t="str">
        <f t="shared" si="1"/>
        <v>048</v>
      </c>
      <c r="H15">
        <v>12</v>
      </c>
      <c r="I15" t="s">
        <v>757</v>
      </c>
      <c r="J15" t="str">
        <f t="shared" si="0"/>
        <v>048</v>
      </c>
      <c r="K15" t="str">
        <f t="shared" si="2"/>
        <v>001-Z</v>
      </c>
      <c r="L15" t="s">
        <v>758</v>
      </c>
      <c r="M15" s="30"/>
      <c r="N15">
        <v>1</v>
      </c>
      <c r="O15" s="31" t="s">
        <v>303</v>
      </c>
      <c r="P15" s="32" t="s">
        <v>759</v>
      </c>
      <c r="Q15" s="32" t="s">
        <v>692</v>
      </c>
      <c r="R15" s="32" t="s">
        <v>693</v>
      </c>
      <c r="S15" s="32" t="s">
        <v>760</v>
      </c>
      <c r="T15" s="36" t="s">
        <v>761</v>
      </c>
    </row>
    <row r="16" ht="15" customHeight="1" spans="1:20" x14ac:dyDescent="0.25">
      <c r="A16">
        <v>1</v>
      </c>
      <c r="B16" t="str">
        <f>LEFT(Table_clallam_Oversight_ActiveFunds[[#This Row],[Agency]],3)</f>
        <v>035</v>
      </c>
      <c r="C16" t="s">
        <v>762</v>
      </c>
      <c r="D16" t="s">
        <v>28</v>
      </c>
      <c r="E16" t="str">
        <f>LEFT(Table_clallam_Oversight_ActiveFunds[[#This Row],[Fund]],5)</f>
        <v>001-1</v>
      </c>
      <c r="G16" t="str">
        <f t="shared" si="1"/>
        <v>050</v>
      </c>
      <c r="H16">
        <v>13</v>
      </c>
      <c r="I16" t="s">
        <v>763</v>
      </c>
      <c r="J16" t="str">
        <f t="shared" si="0"/>
        <v>050</v>
      </c>
      <c r="K16" t="str">
        <f t="shared" si="2"/>
        <v>002-1</v>
      </c>
      <c r="L16" t="s">
        <v>764</v>
      </c>
      <c r="M16" s="30"/>
      <c r="N16">
        <v>1</v>
      </c>
      <c r="O16" s="34" t="s">
        <v>132</v>
      </c>
      <c r="P16" s="35" t="s">
        <v>389</v>
      </c>
      <c r="Q16" s="35" t="s">
        <v>692</v>
      </c>
      <c r="R16" s="35" t="s">
        <v>693</v>
      </c>
      <c r="S16" s="35" t="s">
        <v>765</v>
      </c>
      <c r="T16" s="33" t="s">
        <v>766</v>
      </c>
    </row>
    <row r="17" ht="15" customHeight="1" spans="1:20" x14ac:dyDescent="0.25">
      <c r="A17">
        <v>1</v>
      </c>
      <c r="B17" t="str">
        <f>LEFT(Table_clallam_Oversight_ActiveFunds[[#This Row],[Agency]],3)</f>
        <v>035</v>
      </c>
      <c r="C17" t="s">
        <v>762</v>
      </c>
      <c r="D17" t="s">
        <v>767</v>
      </c>
      <c r="E17" t="str">
        <f>LEFT(Table_clallam_Oversight_ActiveFunds[[#This Row],[Fund]],5)</f>
        <v>418-1</v>
      </c>
      <c r="G17" t="str">
        <f t="shared" si="1"/>
        <v>055</v>
      </c>
      <c r="H17">
        <v>14</v>
      </c>
      <c r="I17" t="s">
        <v>63</v>
      </c>
      <c r="J17" t="str">
        <f t="shared" si="0"/>
        <v>055</v>
      </c>
      <c r="K17" t="str">
        <f t="shared" si="2"/>
        <v>003-1</v>
      </c>
      <c r="L17" t="s">
        <v>768</v>
      </c>
      <c r="M17" s="30"/>
      <c r="N17">
        <v>1</v>
      </c>
      <c r="O17" s="31" t="s">
        <v>132</v>
      </c>
      <c r="P17" s="32" t="s">
        <v>51</v>
      </c>
      <c r="Q17" s="32" t="s">
        <v>692</v>
      </c>
      <c r="R17" s="32" t="s">
        <v>693</v>
      </c>
      <c r="S17" s="32" t="s">
        <v>769</v>
      </c>
      <c r="T17" s="36" t="s">
        <v>770</v>
      </c>
    </row>
    <row r="18" ht="15" customHeight="1" spans="1:20" x14ac:dyDescent="0.25">
      <c r="A18">
        <v>1</v>
      </c>
      <c r="B18" t="str">
        <f>LEFT(Table_clallam_Oversight_ActiveFunds[[#This Row],[Agency]],3)</f>
        <v>035</v>
      </c>
      <c r="C18" t="s">
        <v>762</v>
      </c>
      <c r="D18" t="s">
        <v>771</v>
      </c>
      <c r="E18" t="str">
        <f>LEFT(Table_clallam_Oversight_ActiveFunds[[#This Row],[Fund]],5)</f>
        <v>492-1</v>
      </c>
      <c r="G18" t="str">
        <f t="shared" si="1"/>
        <v>056</v>
      </c>
      <c r="H18">
        <v>15</v>
      </c>
      <c r="I18" t="s">
        <v>772</v>
      </c>
      <c r="J18" t="str">
        <f t="shared" si="0"/>
        <v>056</v>
      </c>
      <c r="K18" t="str">
        <f t="shared" si="2"/>
        <v>006-1</v>
      </c>
      <c r="L18" t="s">
        <v>773</v>
      </c>
      <c r="M18" s="30"/>
      <c r="N18">
        <v>1</v>
      </c>
      <c r="O18" s="34" t="s">
        <v>132</v>
      </c>
      <c r="P18" s="35" t="s">
        <v>60</v>
      </c>
      <c r="Q18" s="35" t="s">
        <v>692</v>
      </c>
      <c r="R18" s="35" t="s">
        <v>693</v>
      </c>
      <c r="S18" s="35" t="s">
        <v>774</v>
      </c>
      <c r="T18" s="33" t="s">
        <v>775</v>
      </c>
    </row>
    <row r="19" ht="15" customHeight="1" spans="1:20" x14ac:dyDescent="0.25">
      <c r="A19">
        <v>1</v>
      </c>
      <c r="B19" t="str">
        <f>LEFT(Table_clallam_Oversight_ActiveFunds[[#This Row],[Agency]],3)</f>
        <v>035</v>
      </c>
      <c r="C19" t="s">
        <v>762</v>
      </c>
      <c r="D19" t="s">
        <v>776</v>
      </c>
      <c r="E19" t="str">
        <f>LEFT(Table_clallam_Oversight_ActiveFunds[[#This Row],[Fund]],5)</f>
        <v>600-1</v>
      </c>
      <c r="G19" t="str">
        <f t="shared" si="1"/>
        <v>057</v>
      </c>
      <c r="H19">
        <v>16</v>
      </c>
      <c r="I19" t="s">
        <v>777</v>
      </c>
      <c r="J19" t="str">
        <f t="shared" si="0"/>
        <v>057</v>
      </c>
      <c r="K19" t="str">
        <f t="shared" si="2"/>
        <v>007-1</v>
      </c>
      <c r="L19" t="s">
        <v>778</v>
      </c>
      <c r="M19" s="30"/>
      <c r="N19">
        <v>1</v>
      </c>
      <c r="O19" s="31" t="s">
        <v>132</v>
      </c>
      <c r="P19" s="32" t="s">
        <v>779</v>
      </c>
      <c r="Q19" s="32" t="s">
        <v>692</v>
      </c>
      <c r="R19" s="32" t="s">
        <v>693</v>
      </c>
      <c r="S19" s="32" t="s">
        <v>780</v>
      </c>
      <c r="T19" s="36" t="s">
        <v>781</v>
      </c>
    </row>
    <row r="20" ht="15" customHeight="1" spans="1:20" x14ac:dyDescent="0.25">
      <c r="A20">
        <v>1</v>
      </c>
      <c r="B20" t="str">
        <f>LEFT(Table_clallam_Oversight_ActiveFunds[[#This Row],[Agency]],3)</f>
        <v>036</v>
      </c>
      <c r="C20" t="s">
        <v>782</v>
      </c>
      <c r="D20" t="s">
        <v>28</v>
      </c>
      <c r="E20" t="str">
        <f>LEFT(Table_clallam_Oversight_ActiveFunds[[#This Row],[Fund]],5)</f>
        <v>001-1</v>
      </c>
      <c r="G20" t="str">
        <f t="shared" si="1"/>
        <v>075</v>
      </c>
      <c r="H20">
        <v>17</v>
      </c>
      <c r="I20" t="s">
        <v>783</v>
      </c>
      <c r="J20" t="str">
        <f t="shared" si="0"/>
        <v>075</v>
      </c>
      <c r="K20" t="str">
        <f t="shared" si="2"/>
        <v>014-1</v>
      </c>
      <c r="L20" t="s">
        <v>784</v>
      </c>
      <c r="M20" s="30"/>
      <c r="N20">
        <v>1</v>
      </c>
      <c r="O20" s="34" t="s">
        <v>132</v>
      </c>
      <c r="P20" s="35" t="s">
        <v>109</v>
      </c>
      <c r="Q20" s="35" t="s">
        <v>692</v>
      </c>
      <c r="R20" s="35" t="s">
        <v>693</v>
      </c>
      <c r="S20" s="35" t="s">
        <v>785</v>
      </c>
      <c r="T20" s="33" t="s">
        <v>786</v>
      </c>
    </row>
    <row r="21" ht="15" customHeight="1" spans="1:20" x14ac:dyDescent="0.25">
      <c r="A21">
        <v>1</v>
      </c>
      <c r="B21" t="str">
        <f>LEFT(Table_clallam_Oversight_ActiveFunds[[#This Row],[Agency]],3)</f>
        <v>037</v>
      </c>
      <c r="C21" t="s">
        <v>787</v>
      </c>
      <c r="D21" t="s">
        <v>28</v>
      </c>
      <c r="E21" t="str">
        <f>LEFT(Table_clallam_Oversight_ActiveFunds[[#This Row],[Fund]],5)</f>
        <v>001-1</v>
      </c>
      <c r="G21" t="str">
        <f t="shared" si="1"/>
        <v>080</v>
      </c>
      <c r="H21">
        <v>18</v>
      </c>
      <c r="I21" t="s">
        <v>788</v>
      </c>
      <c r="J21" t="str">
        <f t="shared" si="0"/>
        <v>080</v>
      </c>
      <c r="K21" t="str">
        <f t="shared" si="2"/>
        <v>018-1</v>
      </c>
      <c r="L21" t="s">
        <v>789</v>
      </c>
      <c r="M21" s="30"/>
      <c r="N21">
        <v>1</v>
      </c>
      <c r="O21" s="31" t="s">
        <v>132</v>
      </c>
      <c r="P21" s="32" t="s">
        <v>201</v>
      </c>
      <c r="Q21" s="32" t="s">
        <v>692</v>
      </c>
      <c r="R21" s="32" t="s">
        <v>693</v>
      </c>
      <c r="S21" s="32" t="s">
        <v>790</v>
      </c>
      <c r="T21" s="36" t="s">
        <v>791</v>
      </c>
    </row>
    <row r="22" ht="15" customHeight="1" spans="1:20" x14ac:dyDescent="0.25">
      <c r="A22">
        <v>1</v>
      </c>
      <c r="B22" t="str">
        <f>LEFT(Table_clallam_Oversight_ActiveFunds[[#This Row],[Agency]],3)</f>
        <v>037</v>
      </c>
      <c r="C22" t="s">
        <v>787</v>
      </c>
      <c r="D22" t="s">
        <v>792</v>
      </c>
      <c r="E22" t="str">
        <f>LEFT(Table_clallam_Oversight_ActiveFunds[[#This Row],[Fund]],5)</f>
        <v>442-6</v>
      </c>
      <c r="G22" t="str">
        <f t="shared" si="1"/>
        <v>082</v>
      </c>
      <c r="H22">
        <v>19</v>
      </c>
      <c r="I22" t="s">
        <v>793</v>
      </c>
      <c r="J22" t="str">
        <f t="shared" si="0"/>
        <v>082</v>
      </c>
      <c r="K22" t="str">
        <f t="shared" si="2"/>
        <v>01B-1</v>
      </c>
      <c r="L22" t="s">
        <v>794</v>
      </c>
      <c r="M22" s="30"/>
      <c r="N22">
        <v>1</v>
      </c>
      <c r="O22" s="34" t="s">
        <v>132</v>
      </c>
      <c r="P22" s="35" t="s">
        <v>795</v>
      </c>
      <c r="Q22" s="35" t="s">
        <v>692</v>
      </c>
      <c r="R22" s="35" t="s">
        <v>693</v>
      </c>
      <c r="S22" s="35" t="s">
        <v>796</v>
      </c>
      <c r="T22" s="33" t="s">
        <v>797</v>
      </c>
    </row>
    <row r="23" ht="15" customHeight="1" spans="1:20" x14ac:dyDescent="0.25">
      <c r="A23">
        <v>1</v>
      </c>
      <c r="B23" t="str">
        <f>LEFT(Table_clallam_Oversight_ActiveFunds[[#This Row],[Agency]],3)</f>
        <v>038</v>
      </c>
      <c r="C23" t="s">
        <v>798</v>
      </c>
      <c r="D23" t="s">
        <v>28</v>
      </c>
      <c r="E23" t="str">
        <f>LEFT(Table_clallam_Oversight_ActiveFunds[[#This Row],[Fund]],5)</f>
        <v>001-1</v>
      </c>
      <c r="G23" t="str">
        <f t="shared" si="1"/>
        <v>083</v>
      </c>
      <c r="H23">
        <v>20</v>
      </c>
      <c r="I23" t="s">
        <v>799</v>
      </c>
      <c r="J23" t="str">
        <f t="shared" si="0"/>
        <v>083</v>
      </c>
      <c r="K23" t="str">
        <f t="shared" si="2"/>
        <v>01F-6</v>
      </c>
      <c r="L23" t="s">
        <v>800</v>
      </c>
      <c r="M23" s="30"/>
      <c r="N23">
        <v>1</v>
      </c>
      <c r="O23" s="31" t="s">
        <v>132</v>
      </c>
      <c r="P23" s="32" t="s">
        <v>360</v>
      </c>
      <c r="Q23" s="32" t="s">
        <v>692</v>
      </c>
      <c r="R23" s="32" t="s">
        <v>693</v>
      </c>
      <c r="S23" s="32" t="s">
        <v>801</v>
      </c>
      <c r="T23" s="36" t="s">
        <v>802</v>
      </c>
    </row>
    <row r="24" ht="15" customHeight="1" spans="1:20" x14ac:dyDescent="0.25">
      <c r="A24">
        <v>1</v>
      </c>
      <c r="B24" t="str">
        <f>LEFT(Table_clallam_Oversight_ActiveFunds[[#This Row],[Agency]],3)</f>
        <v>040</v>
      </c>
      <c r="C24" t="s">
        <v>803</v>
      </c>
      <c r="D24" t="s">
        <v>28</v>
      </c>
      <c r="E24" t="str">
        <f>LEFT(Table_clallam_Oversight_ActiveFunds[[#This Row],[Fund]],5)</f>
        <v>001-1</v>
      </c>
      <c r="G24" t="str">
        <f t="shared" si="1"/>
        <v>085</v>
      </c>
      <c r="H24">
        <v>21</v>
      </c>
      <c r="I24" t="s">
        <v>804</v>
      </c>
      <c r="J24" t="str">
        <f t="shared" si="0"/>
        <v>085</v>
      </c>
      <c r="K24" t="str">
        <f t="shared" si="2"/>
        <v>01M-1</v>
      </c>
      <c r="L24" t="s">
        <v>805</v>
      </c>
      <c r="M24" s="30"/>
      <c r="N24">
        <v>1</v>
      </c>
      <c r="O24" s="31" t="s">
        <v>375</v>
      </c>
      <c r="P24" s="32" t="s">
        <v>376</v>
      </c>
      <c r="Q24" s="32" t="s">
        <v>692</v>
      </c>
      <c r="R24" s="32" t="s">
        <v>693</v>
      </c>
      <c r="S24" s="32" t="s">
        <v>806</v>
      </c>
      <c r="T24" s="36" t="s">
        <v>807</v>
      </c>
    </row>
    <row r="25" ht="15" customHeight="1" spans="1:20" x14ac:dyDescent="0.25">
      <c r="A25">
        <v>1</v>
      </c>
      <c r="B25" t="str">
        <f>LEFT(Table_clallam_Oversight_ActiveFunds[[#This Row],[Agency]],3)</f>
        <v>040</v>
      </c>
      <c r="C25" t="s">
        <v>803</v>
      </c>
      <c r="D25" t="s">
        <v>808</v>
      </c>
      <c r="E25" t="str">
        <f>LEFT(Table_clallam_Oversight_ActiveFunds[[#This Row],[Fund]],5)</f>
        <v>197-6</v>
      </c>
      <c r="G25" t="str">
        <f t="shared" si="1"/>
        <v>086</v>
      </c>
      <c r="H25">
        <v>22</v>
      </c>
      <c r="I25" t="s">
        <v>91</v>
      </c>
      <c r="J25" t="str">
        <f t="shared" si="0"/>
        <v>086</v>
      </c>
      <c r="K25" t="str">
        <f t="shared" si="2"/>
        <v>024-1</v>
      </c>
      <c r="L25" t="s">
        <v>809</v>
      </c>
      <c r="M25" s="30"/>
      <c r="N25">
        <v>1</v>
      </c>
      <c r="O25" s="31" t="s">
        <v>375</v>
      </c>
      <c r="P25" s="32" t="s">
        <v>39</v>
      </c>
      <c r="Q25" s="32" t="s">
        <v>692</v>
      </c>
      <c r="R25" s="32" t="s">
        <v>693</v>
      </c>
      <c r="S25" s="32" t="s">
        <v>810</v>
      </c>
      <c r="T25" s="36" t="s">
        <v>811</v>
      </c>
    </row>
    <row r="26" ht="15" customHeight="1" spans="1:20" x14ac:dyDescent="0.25">
      <c r="A26">
        <v>1</v>
      </c>
      <c r="B26" t="str">
        <f>LEFT(Table_clallam_Oversight_ActiveFunds[[#This Row],[Agency]],3)</f>
        <v>045</v>
      </c>
      <c r="C26" t="s">
        <v>57</v>
      </c>
      <c r="D26" t="s">
        <v>28</v>
      </c>
      <c r="E26" t="str">
        <f>LEFT(Table_clallam_Oversight_ActiveFunds[[#This Row],[Fund]],5)</f>
        <v>001-1</v>
      </c>
      <c r="G26" t="str">
        <f t="shared" si="1"/>
        <v>087</v>
      </c>
      <c r="H26">
        <v>23</v>
      </c>
      <c r="I26" t="s">
        <v>812</v>
      </c>
      <c r="J26" t="str">
        <f t="shared" si="0"/>
        <v>087</v>
      </c>
      <c r="K26" t="str">
        <f t="shared" si="2"/>
        <v>025-1</v>
      </c>
      <c r="L26" t="s">
        <v>294</v>
      </c>
      <c r="M26" s="30"/>
      <c r="N26">
        <v>1</v>
      </c>
      <c r="O26" s="31" t="s">
        <v>375</v>
      </c>
      <c r="P26" s="32" t="s">
        <v>41</v>
      </c>
      <c r="Q26" s="32" t="s">
        <v>692</v>
      </c>
      <c r="R26" s="32" t="s">
        <v>693</v>
      </c>
      <c r="S26" s="32" t="s">
        <v>813</v>
      </c>
      <c r="T26" s="36" t="s">
        <v>814</v>
      </c>
    </row>
    <row r="27" ht="15" customHeight="1" spans="1:20" x14ac:dyDescent="0.25">
      <c r="A27">
        <v>1</v>
      </c>
      <c r="B27" t="str">
        <f>LEFT(Table_clallam_Oversight_ActiveFunds[[#This Row],[Agency]],3)</f>
        <v>046</v>
      </c>
      <c r="C27" t="s">
        <v>815</v>
      </c>
      <c r="D27" t="s">
        <v>28</v>
      </c>
      <c r="E27" t="str">
        <f>LEFT(Table_clallam_Oversight_ActiveFunds[[#This Row],[Fund]],5)</f>
        <v>001-1</v>
      </c>
      <c r="G27" t="str">
        <f t="shared" si="1"/>
        <v>090</v>
      </c>
      <c r="H27">
        <v>24</v>
      </c>
      <c r="I27" t="s">
        <v>816</v>
      </c>
      <c r="J27" t="str">
        <f t="shared" si="0"/>
        <v>090</v>
      </c>
      <c r="K27" t="str">
        <f t="shared" si="2"/>
        <v>026-1</v>
      </c>
      <c r="L27" t="s">
        <v>817</v>
      </c>
      <c r="M27" s="30"/>
      <c r="N27">
        <v>1</v>
      </c>
      <c r="O27" s="31" t="s">
        <v>375</v>
      </c>
      <c r="P27" s="32" t="s">
        <v>56</v>
      </c>
      <c r="Q27" s="32" t="s">
        <v>692</v>
      </c>
      <c r="R27" s="32" t="s">
        <v>693</v>
      </c>
      <c r="S27" s="32" t="s">
        <v>818</v>
      </c>
      <c r="T27" s="36" t="s">
        <v>819</v>
      </c>
    </row>
    <row r="28" ht="15" customHeight="1" spans="1:20" x14ac:dyDescent="0.25">
      <c r="A28">
        <v>1</v>
      </c>
      <c r="B28" t="str">
        <f>LEFT(Table_clallam_Oversight_ActiveFunds[[#This Row],[Agency]],3)</f>
        <v>048</v>
      </c>
      <c r="C28" t="s">
        <v>59</v>
      </c>
      <c r="D28" t="s">
        <v>28</v>
      </c>
      <c r="E28" t="str">
        <f>LEFT(Table_clallam_Oversight_ActiveFunds[[#This Row],[Fund]],5)</f>
        <v>001-1</v>
      </c>
      <c r="G28" t="str">
        <f t="shared" si="1"/>
        <v>095</v>
      </c>
      <c r="H28">
        <v>25</v>
      </c>
      <c r="I28" t="s">
        <v>820</v>
      </c>
      <c r="J28" t="str">
        <f t="shared" si="0"/>
        <v>095</v>
      </c>
      <c r="K28" t="str">
        <f t="shared" si="2"/>
        <v>027-1</v>
      </c>
      <c r="L28" t="s">
        <v>821</v>
      </c>
      <c r="M28" s="30"/>
      <c r="N28">
        <v>1</v>
      </c>
      <c r="O28" s="34" t="s">
        <v>385</v>
      </c>
      <c r="P28" s="35" t="s">
        <v>376</v>
      </c>
      <c r="Q28" s="35" t="s">
        <v>692</v>
      </c>
      <c r="R28" s="35" t="s">
        <v>693</v>
      </c>
      <c r="S28" s="35" t="s">
        <v>822</v>
      </c>
      <c r="T28" s="33" t="s">
        <v>823</v>
      </c>
    </row>
    <row r="29" ht="15" customHeight="1" spans="1:20" x14ac:dyDescent="0.25">
      <c r="A29">
        <v>1</v>
      </c>
      <c r="B29" t="str">
        <f>LEFT(Table_clallam_Oversight_ActiveFunds[[#This Row],[Agency]],3)</f>
        <v>050</v>
      </c>
      <c r="C29" t="s">
        <v>824</v>
      </c>
      <c r="D29" t="s">
        <v>28</v>
      </c>
      <c r="E29" t="str">
        <f>LEFT(Table_clallam_Oversight_ActiveFunds[[#This Row],[Fund]],5)</f>
        <v>001-1</v>
      </c>
      <c r="G29" t="str">
        <f t="shared" si="1"/>
        <v>099</v>
      </c>
      <c r="H29">
        <v>26</v>
      </c>
      <c r="I29" t="s">
        <v>108</v>
      </c>
      <c r="J29" t="str">
        <f t="shared" si="0"/>
        <v>099</v>
      </c>
      <c r="K29" t="str">
        <f t="shared" si="2"/>
        <v>02A-1</v>
      </c>
      <c r="L29" t="s">
        <v>825</v>
      </c>
      <c r="M29" s="30"/>
      <c r="N29">
        <v>1</v>
      </c>
      <c r="O29" s="31" t="s">
        <v>385</v>
      </c>
      <c r="P29" s="32" t="s">
        <v>39</v>
      </c>
      <c r="Q29" s="32" t="s">
        <v>692</v>
      </c>
      <c r="R29" s="32" t="s">
        <v>693</v>
      </c>
      <c r="S29" s="32" t="s">
        <v>826</v>
      </c>
      <c r="T29" s="36" t="s">
        <v>827</v>
      </c>
    </row>
    <row r="30" ht="15" customHeight="1" spans="1:20" x14ac:dyDescent="0.25">
      <c r="A30">
        <v>1</v>
      </c>
      <c r="B30" t="str">
        <f>LEFT(Table_clallam_Oversight_ActiveFunds[[#This Row],[Agency]],3)</f>
        <v>055</v>
      </c>
      <c r="C30" t="s">
        <v>828</v>
      </c>
      <c r="D30" t="s">
        <v>28</v>
      </c>
      <c r="E30" t="str">
        <f>LEFT(Table_clallam_Oversight_ActiveFunds[[#This Row],[Fund]],5)</f>
        <v>001-1</v>
      </c>
      <c r="G30" t="str">
        <f t="shared" si="1"/>
        <v>100</v>
      </c>
      <c r="H30">
        <v>27</v>
      </c>
      <c r="I30" t="s">
        <v>829</v>
      </c>
      <c r="J30" t="str">
        <f t="shared" si="0"/>
        <v>100</v>
      </c>
      <c r="K30" t="str">
        <f t="shared" si="2"/>
        <v>02G-1</v>
      </c>
      <c r="L30" t="s">
        <v>830</v>
      </c>
      <c r="M30" s="30"/>
      <c r="N30">
        <v>1</v>
      </c>
      <c r="O30" s="34" t="s">
        <v>385</v>
      </c>
      <c r="P30" s="35" t="s">
        <v>389</v>
      </c>
      <c r="Q30" s="35" t="s">
        <v>692</v>
      </c>
      <c r="R30" s="35" t="s">
        <v>693</v>
      </c>
      <c r="S30" s="35" t="s">
        <v>831</v>
      </c>
      <c r="T30" s="33" t="s">
        <v>832</v>
      </c>
    </row>
    <row r="31" ht="15" customHeight="1" spans="1:20" x14ac:dyDescent="0.25">
      <c r="A31">
        <v>1</v>
      </c>
      <c r="B31" t="str">
        <f>LEFT(Table_clallam_Oversight_ActiveFunds[[#This Row],[Agency]],3)</f>
        <v>055</v>
      </c>
      <c r="C31" t="s">
        <v>828</v>
      </c>
      <c r="D31" t="s">
        <v>144</v>
      </c>
      <c r="E31" t="str">
        <f>LEFT(Table_clallam_Oversight_ActiveFunds[[#This Row],[Fund]],5)</f>
        <v>001-2</v>
      </c>
      <c r="G31" t="str">
        <f t="shared" si="1"/>
        <v>101</v>
      </c>
      <c r="H31">
        <v>28</v>
      </c>
      <c r="I31" t="s">
        <v>833</v>
      </c>
      <c r="J31" t="str">
        <f t="shared" si="0"/>
        <v>101</v>
      </c>
      <c r="K31" t="str">
        <f t="shared" si="2"/>
        <v>02H-6</v>
      </c>
      <c r="L31" t="s">
        <v>834</v>
      </c>
      <c r="M31" s="30"/>
      <c r="N31">
        <v>1</v>
      </c>
      <c r="O31" s="31" t="s">
        <v>385</v>
      </c>
      <c r="P31" s="32" t="s">
        <v>96</v>
      </c>
      <c r="Q31" s="32" t="s">
        <v>692</v>
      </c>
      <c r="R31" s="32" t="s">
        <v>693</v>
      </c>
      <c r="S31" s="32" t="s">
        <v>694</v>
      </c>
      <c r="T31" s="33" t="s">
        <v>835</v>
      </c>
    </row>
    <row r="32" ht="15" customHeight="1" spans="1:20" x14ac:dyDescent="0.25">
      <c r="A32">
        <v>1</v>
      </c>
      <c r="B32" t="str">
        <f>LEFT(Table_clallam_Oversight_ActiveFunds[[#This Row],[Agency]],3)</f>
        <v>055</v>
      </c>
      <c r="C32" t="s">
        <v>828</v>
      </c>
      <c r="D32" t="s">
        <v>712</v>
      </c>
      <c r="E32" t="str">
        <f>LEFT(Table_clallam_Oversight_ActiveFunds[[#This Row],[Fund]],5)</f>
        <v>001-7</v>
      </c>
      <c r="G32" t="str">
        <f t="shared" si="1"/>
        <v>102</v>
      </c>
      <c r="H32">
        <v>29</v>
      </c>
      <c r="I32" t="s">
        <v>836</v>
      </c>
      <c r="J32" t="str">
        <f t="shared" si="0"/>
        <v>102</v>
      </c>
      <c r="K32" t="str">
        <f t="shared" si="2"/>
        <v>02J-1</v>
      </c>
      <c r="L32" t="s">
        <v>837</v>
      </c>
      <c r="M32" s="30"/>
      <c r="N32">
        <v>1</v>
      </c>
      <c r="O32" s="31" t="s">
        <v>392</v>
      </c>
      <c r="P32" s="32" t="s">
        <v>109</v>
      </c>
      <c r="Q32" s="32" t="s">
        <v>692</v>
      </c>
      <c r="R32" s="32" t="s">
        <v>693</v>
      </c>
      <c r="S32" s="32" t="s">
        <v>838</v>
      </c>
      <c r="T32" s="36" t="s">
        <v>839</v>
      </c>
    </row>
    <row r="33" ht="15" customHeight="1" spans="1:20" x14ac:dyDescent="0.25">
      <c r="A33">
        <v>1</v>
      </c>
      <c r="B33" t="str">
        <f>LEFT(Table_clallam_Oversight_ActiveFunds[[#This Row],[Agency]],3)</f>
        <v>055</v>
      </c>
      <c r="C33" t="s">
        <v>828</v>
      </c>
      <c r="D33" t="s">
        <v>748</v>
      </c>
      <c r="E33" t="str">
        <f>LEFT(Table_clallam_Oversight_ActiveFunds[[#This Row],[Fund]],5)</f>
        <v>001-X</v>
      </c>
      <c r="G33" t="str">
        <f t="shared" si="1"/>
        <v>103</v>
      </c>
      <c r="H33">
        <v>30</v>
      </c>
      <c r="I33" t="s">
        <v>840</v>
      </c>
      <c r="J33" t="str">
        <f t="shared" si="0"/>
        <v>103</v>
      </c>
      <c r="K33" t="str">
        <f t="shared" si="2"/>
        <v>02K-1</v>
      </c>
      <c r="L33" t="s">
        <v>841</v>
      </c>
      <c r="M33" s="30"/>
      <c r="N33">
        <v>1</v>
      </c>
      <c r="O33" s="34" t="s">
        <v>392</v>
      </c>
      <c r="P33" s="35" t="s">
        <v>395</v>
      </c>
      <c r="Q33" s="35" t="s">
        <v>692</v>
      </c>
      <c r="R33" s="35" t="s">
        <v>693</v>
      </c>
      <c r="S33" s="35" t="s">
        <v>842</v>
      </c>
      <c r="T33" s="33" t="s">
        <v>843</v>
      </c>
    </row>
    <row r="34" ht="15" customHeight="1" spans="1:20" x14ac:dyDescent="0.25">
      <c r="A34">
        <v>1</v>
      </c>
      <c r="B34" t="str">
        <f>LEFT(Table_clallam_Oversight_ActiveFunds[[#This Row],[Agency]],3)</f>
        <v>055</v>
      </c>
      <c r="C34" t="s">
        <v>828</v>
      </c>
      <c r="D34" t="s">
        <v>844</v>
      </c>
      <c r="E34" t="str">
        <f>LEFT(Table_clallam_Oversight_ActiveFunds[[#This Row],[Fund]],5)</f>
        <v>16A-1</v>
      </c>
      <c r="G34" t="str">
        <f t="shared" si="1"/>
        <v>104</v>
      </c>
      <c r="H34">
        <v>31</v>
      </c>
      <c r="I34" t="s">
        <v>177</v>
      </c>
      <c r="J34" t="str">
        <f t="shared" si="0"/>
        <v>104</v>
      </c>
      <c r="K34" t="str">
        <f t="shared" si="2"/>
        <v>02M-1</v>
      </c>
      <c r="L34" t="s">
        <v>845</v>
      </c>
      <c r="M34" s="30"/>
      <c r="N34">
        <v>1</v>
      </c>
      <c r="O34" s="31" t="s">
        <v>392</v>
      </c>
      <c r="P34" s="32" t="s">
        <v>132</v>
      </c>
      <c r="Q34" s="32" t="s">
        <v>692</v>
      </c>
      <c r="R34" s="32" t="s">
        <v>693</v>
      </c>
      <c r="S34" s="32" t="s">
        <v>846</v>
      </c>
      <c r="T34" s="36" t="s">
        <v>847</v>
      </c>
    </row>
    <row r="35" ht="15" customHeight="1" spans="1:20" x14ac:dyDescent="0.25">
      <c r="A35">
        <v>1</v>
      </c>
      <c r="B35" t="str">
        <f>LEFT(Table_clallam_Oversight_ActiveFunds[[#This Row],[Agency]],3)</f>
        <v>055</v>
      </c>
      <c r="C35" t="s">
        <v>828</v>
      </c>
      <c r="D35" t="s">
        <v>848</v>
      </c>
      <c r="E35" t="str">
        <f>LEFT(Table_clallam_Oversight_ActiveFunds[[#This Row],[Fund]],5)</f>
        <v>543-1</v>
      </c>
      <c r="G35" t="str">
        <f t="shared" si="1"/>
        <v>105</v>
      </c>
      <c r="H35">
        <v>32</v>
      </c>
      <c r="I35" t="s">
        <v>849</v>
      </c>
      <c r="J35" t="str">
        <f t="shared" si="0"/>
        <v>105</v>
      </c>
      <c r="K35" t="str">
        <f t="shared" si="2"/>
        <v>02P-1</v>
      </c>
      <c r="L35" t="s">
        <v>850</v>
      </c>
      <c r="M35" s="30"/>
      <c r="N35">
        <v>1</v>
      </c>
      <c r="O35" s="34" t="s">
        <v>392</v>
      </c>
      <c r="P35" s="35" t="s">
        <v>402</v>
      </c>
      <c r="Q35" s="35" t="s">
        <v>692</v>
      </c>
      <c r="R35" s="35" t="s">
        <v>693</v>
      </c>
      <c r="S35" s="35" t="s">
        <v>851</v>
      </c>
      <c r="T35" s="33" t="s">
        <v>852</v>
      </c>
    </row>
    <row r="36" ht="15" customHeight="1" spans="1:20" x14ac:dyDescent="0.25">
      <c r="A36">
        <v>1</v>
      </c>
      <c r="B36" t="str">
        <f>LEFT(Table_clallam_Oversight_ActiveFunds[[#This Row],[Agency]],3)</f>
        <v>056</v>
      </c>
      <c r="C36" t="s">
        <v>853</v>
      </c>
      <c r="D36" t="s">
        <v>28</v>
      </c>
      <c r="E36" t="str">
        <f>LEFT(Table_clallam_Oversight_ActiveFunds[[#This Row],[Fund]],5)</f>
        <v>001-1</v>
      </c>
      <c r="G36" t="str">
        <f t="shared" si="1"/>
        <v>107</v>
      </c>
      <c r="H36">
        <v>33</v>
      </c>
      <c r="I36" t="s">
        <v>854</v>
      </c>
      <c r="J36" t="str">
        <f t="shared" ref="J36:J67" si="4">LEFT(I36,3)</f>
        <v>107</v>
      </c>
      <c r="K36" t="str">
        <f t="shared" si="2"/>
        <v>02R-1</v>
      </c>
      <c r="L36" t="s">
        <v>855</v>
      </c>
      <c r="M36" s="30"/>
      <c r="N36">
        <v>1</v>
      </c>
      <c r="O36" s="31" t="s">
        <v>392</v>
      </c>
      <c r="P36" s="32" t="s">
        <v>404</v>
      </c>
      <c r="Q36" s="32" t="s">
        <v>692</v>
      </c>
      <c r="R36" s="32" t="s">
        <v>693</v>
      </c>
      <c r="S36" s="32" t="s">
        <v>856</v>
      </c>
      <c r="T36" s="36" t="s">
        <v>857</v>
      </c>
    </row>
    <row r="37" ht="15" customHeight="1" spans="1:20" x14ac:dyDescent="0.25">
      <c r="A37">
        <v>1</v>
      </c>
      <c r="B37" t="str">
        <f>LEFT(Table_clallam_Oversight_ActiveFunds[[#This Row],[Agency]],3)</f>
        <v>056</v>
      </c>
      <c r="C37" t="s">
        <v>853</v>
      </c>
      <c r="D37" t="s">
        <v>144</v>
      </c>
      <c r="E37" t="str">
        <f>LEFT(Table_clallam_Oversight_ActiveFunds[[#This Row],[Fund]],5)</f>
        <v>001-2</v>
      </c>
      <c r="G37" t="str">
        <f t="shared" si="1"/>
        <v>110</v>
      </c>
      <c r="H37">
        <v>34</v>
      </c>
      <c r="I37" t="s">
        <v>858</v>
      </c>
      <c r="J37" t="str">
        <f t="shared" si="4"/>
        <v>110</v>
      </c>
      <c r="K37" t="str">
        <f t="shared" si="2"/>
        <v>02W-1</v>
      </c>
      <c r="L37" t="s">
        <v>859</v>
      </c>
      <c r="M37" s="30"/>
      <c r="N37">
        <v>1</v>
      </c>
      <c r="O37" s="34" t="s">
        <v>392</v>
      </c>
      <c r="P37" s="35" t="s">
        <v>42</v>
      </c>
      <c r="Q37" s="35" t="s">
        <v>692</v>
      </c>
      <c r="R37" s="32" t="s">
        <v>693</v>
      </c>
      <c r="S37" s="35" t="s">
        <v>860</v>
      </c>
      <c r="T37" s="33" t="s">
        <v>406</v>
      </c>
    </row>
    <row r="38" ht="15" customHeight="1" spans="1:20" x14ac:dyDescent="0.25">
      <c r="A38">
        <v>1</v>
      </c>
      <c r="B38" t="str">
        <f>LEFT(Table_clallam_Oversight_ActiveFunds[[#This Row],[Agency]],3)</f>
        <v>056</v>
      </c>
      <c r="C38" t="s">
        <v>853</v>
      </c>
      <c r="D38" t="s">
        <v>712</v>
      </c>
      <c r="E38" t="str">
        <f>LEFT(Table_clallam_Oversight_ActiveFunds[[#This Row],[Fund]],5)</f>
        <v>001-7</v>
      </c>
      <c r="G38" t="str">
        <f t="shared" si="1"/>
        <v>116</v>
      </c>
      <c r="H38">
        <v>35</v>
      </c>
      <c r="I38" t="s">
        <v>861</v>
      </c>
      <c r="J38" t="str">
        <f t="shared" si="4"/>
        <v>116</v>
      </c>
      <c r="K38" t="str">
        <f t="shared" si="2"/>
        <v>030-6</v>
      </c>
      <c r="L38" t="s">
        <v>862</v>
      </c>
      <c r="M38" s="30"/>
      <c r="N38">
        <v>1</v>
      </c>
      <c r="O38" s="31" t="s">
        <v>392</v>
      </c>
      <c r="P38" s="32" t="s">
        <v>407</v>
      </c>
      <c r="Q38" s="32" t="s">
        <v>692</v>
      </c>
      <c r="R38" s="32" t="s">
        <v>693</v>
      </c>
      <c r="S38" s="32" t="s">
        <v>863</v>
      </c>
      <c r="T38" s="36" t="s">
        <v>864</v>
      </c>
    </row>
    <row r="39" ht="15" customHeight="1" spans="1:20" x14ac:dyDescent="0.25">
      <c r="A39">
        <v>1</v>
      </c>
      <c r="B39" t="str">
        <f>LEFT(Table_clallam_Oversight_ActiveFunds[[#This Row],[Agency]],3)</f>
        <v>056</v>
      </c>
      <c r="C39" t="s">
        <v>853</v>
      </c>
      <c r="D39" t="s">
        <v>844</v>
      </c>
      <c r="E39" t="str">
        <f>LEFT(Table_clallam_Oversight_ActiveFunds[[#This Row],[Fund]],5)</f>
        <v>16A-1</v>
      </c>
      <c r="G39" t="str">
        <f t="shared" si="1"/>
        <v>117</v>
      </c>
      <c r="H39">
        <v>36</v>
      </c>
      <c r="I39" t="s">
        <v>865</v>
      </c>
      <c r="J39" t="str">
        <f t="shared" si="4"/>
        <v>117</v>
      </c>
      <c r="K39" t="str">
        <f t="shared" si="2"/>
        <v>031-1</v>
      </c>
      <c r="L39" t="s">
        <v>866</v>
      </c>
      <c r="M39" s="30"/>
      <c r="N39">
        <v>1</v>
      </c>
      <c r="O39" s="34" t="s">
        <v>410</v>
      </c>
      <c r="P39" s="35" t="s">
        <v>411</v>
      </c>
      <c r="Q39" s="35" t="s">
        <v>692</v>
      </c>
      <c r="R39" s="32" t="s">
        <v>693</v>
      </c>
      <c r="S39" s="35" t="s">
        <v>867</v>
      </c>
      <c r="T39" s="33" t="s">
        <v>868</v>
      </c>
    </row>
    <row r="40" ht="15" customHeight="1" spans="1:20" x14ac:dyDescent="0.25">
      <c r="A40">
        <v>1</v>
      </c>
      <c r="B40" t="str">
        <f>LEFT(Table_clallam_Oversight_ActiveFunds[[#This Row],[Agency]],3)</f>
        <v>057</v>
      </c>
      <c r="C40" t="s">
        <v>869</v>
      </c>
      <c r="D40" t="s">
        <v>28</v>
      </c>
      <c r="E40" t="str">
        <f>LEFT(Table_clallam_Oversight_ActiveFunds[[#This Row],[Fund]],5)</f>
        <v>001-1</v>
      </c>
      <c r="G40" t="str">
        <f t="shared" si="1"/>
        <v>118</v>
      </c>
      <c r="H40">
        <v>37</v>
      </c>
      <c r="I40" t="s">
        <v>870</v>
      </c>
      <c r="J40" t="str">
        <f t="shared" si="4"/>
        <v>118</v>
      </c>
      <c r="K40" t="str">
        <f t="shared" si="2"/>
        <v>032-1</v>
      </c>
      <c r="L40" t="s">
        <v>871</v>
      </c>
      <c r="M40" s="30"/>
      <c r="N40">
        <v>1</v>
      </c>
      <c r="O40" s="31" t="s">
        <v>410</v>
      </c>
      <c r="P40" s="32" t="s">
        <v>414</v>
      </c>
      <c r="Q40" s="32" t="s">
        <v>692</v>
      </c>
      <c r="R40" s="32" t="s">
        <v>693</v>
      </c>
      <c r="S40" s="32" t="s">
        <v>872</v>
      </c>
      <c r="T40" s="36" t="s">
        <v>873</v>
      </c>
    </row>
    <row r="41" ht="15" customHeight="1" spans="1:20" x14ac:dyDescent="0.25">
      <c r="A41">
        <v>1</v>
      </c>
      <c r="B41" t="str">
        <f>LEFT(Table_clallam_Oversight_ActiveFunds[[#This Row],[Agency]],3)</f>
        <v>057</v>
      </c>
      <c r="C41" t="s">
        <v>869</v>
      </c>
      <c r="D41" t="s">
        <v>144</v>
      </c>
      <c r="E41" t="str">
        <f>LEFT(Table_clallam_Oversight_ActiveFunds[[#This Row],[Fund]],5)</f>
        <v>001-2</v>
      </c>
      <c r="G41" t="str">
        <f t="shared" si="1"/>
        <v>119</v>
      </c>
      <c r="H41">
        <v>38</v>
      </c>
      <c r="I41" t="s">
        <v>874</v>
      </c>
      <c r="J41" t="str">
        <f t="shared" si="4"/>
        <v>119</v>
      </c>
      <c r="K41" t="str">
        <f t="shared" si="2"/>
        <v>039-1</v>
      </c>
      <c r="L41" t="s">
        <v>875</v>
      </c>
      <c r="M41" s="30"/>
      <c r="N41">
        <v>1</v>
      </c>
      <c r="O41" s="34" t="s">
        <v>432</v>
      </c>
      <c r="P41" s="35" t="s">
        <v>376</v>
      </c>
      <c r="Q41" s="35" t="s">
        <v>692</v>
      </c>
      <c r="R41" s="32" t="s">
        <v>693</v>
      </c>
      <c r="S41" s="35" t="s">
        <v>876</v>
      </c>
      <c r="T41" s="33" t="s">
        <v>877</v>
      </c>
    </row>
    <row r="42" ht="15" customHeight="1" spans="1:20" x14ac:dyDescent="0.25">
      <c r="A42">
        <v>1</v>
      </c>
      <c r="B42" t="str">
        <f>LEFT(Table_clallam_Oversight_ActiveFunds[[#This Row],[Agency]],3)</f>
        <v>057</v>
      </c>
      <c r="C42" t="s">
        <v>869</v>
      </c>
      <c r="D42" t="s">
        <v>844</v>
      </c>
      <c r="E42" t="str">
        <f>LEFT(Table_clallam_Oversight_ActiveFunds[[#This Row],[Fund]],5)</f>
        <v>16A-1</v>
      </c>
      <c r="G42" t="str">
        <f t="shared" si="1"/>
        <v>120</v>
      </c>
      <c r="H42">
        <v>39</v>
      </c>
      <c r="I42" t="s">
        <v>878</v>
      </c>
      <c r="J42" t="str">
        <f t="shared" si="4"/>
        <v>120</v>
      </c>
      <c r="K42" t="str">
        <f t="shared" si="2"/>
        <v>039-2</v>
      </c>
      <c r="L42" t="s">
        <v>879</v>
      </c>
      <c r="M42" s="30"/>
      <c r="N42">
        <v>1</v>
      </c>
      <c r="O42" s="31" t="s">
        <v>123</v>
      </c>
      <c r="P42" s="32" t="s">
        <v>473</v>
      </c>
      <c r="Q42" s="32" t="s">
        <v>692</v>
      </c>
      <c r="R42" s="32" t="s">
        <v>693</v>
      </c>
      <c r="S42" s="32" t="s">
        <v>880</v>
      </c>
      <c r="T42" s="36" t="s">
        <v>881</v>
      </c>
    </row>
    <row r="43" ht="15" customHeight="1" spans="1:20" x14ac:dyDescent="0.25">
      <c r="A43">
        <v>1</v>
      </c>
      <c r="B43" t="str">
        <f>LEFT(Table_clallam_Oversight_ActiveFunds[[#This Row],[Agency]],3)</f>
        <v>057</v>
      </c>
      <c r="C43" t="s">
        <v>869</v>
      </c>
      <c r="D43" t="s">
        <v>882</v>
      </c>
      <c r="E43" t="str">
        <f>LEFT(Table_clallam_Oversight_ActiveFunds[[#This Row],[Fund]],5)</f>
        <v>17L-6</v>
      </c>
      <c r="G43" t="str">
        <f t="shared" si="1"/>
        <v>124</v>
      </c>
      <c r="H43">
        <v>40</v>
      </c>
      <c r="I43" t="s">
        <v>883</v>
      </c>
      <c r="J43" t="str">
        <f t="shared" si="4"/>
        <v>124</v>
      </c>
      <c r="K43" t="str">
        <f t="shared" si="2"/>
        <v>039-7</v>
      </c>
      <c r="L43" t="s">
        <v>884</v>
      </c>
      <c r="M43" s="30"/>
      <c r="N43">
        <v>1</v>
      </c>
      <c r="O43" s="34" t="s">
        <v>123</v>
      </c>
      <c r="P43" s="35" t="s">
        <v>482</v>
      </c>
      <c r="Q43" s="35" t="s">
        <v>692</v>
      </c>
      <c r="R43" s="32" t="s">
        <v>693</v>
      </c>
      <c r="S43" s="35" t="s">
        <v>885</v>
      </c>
      <c r="T43" s="33" t="s">
        <v>886</v>
      </c>
    </row>
    <row r="44" ht="15" customHeight="1" spans="1:20" x14ac:dyDescent="0.25">
      <c r="A44">
        <v>1</v>
      </c>
      <c r="B44" t="str">
        <f>LEFT(Table_clallam_Oversight_ActiveFunds[[#This Row],[Agency]],3)</f>
        <v>075</v>
      </c>
      <c r="C44" t="s">
        <v>887</v>
      </c>
      <c r="D44" t="s">
        <v>28</v>
      </c>
      <c r="E44" t="str">
        <f>LEFT(Table_clallam_Oversight_ActiveFunds[[#This Row],[Fund]],5)</f>
        <v>001-1</v>
      </c>
      <c r="G44" t="str">
        <f t="shared" si="1"/>
        <v>126</v>
      </c>
      <c r="H44">
        <v>41</v>
      </c>
      <c r="I44" t="s">
        <v>888</v>
      </c>
      <c r="J44" t="str">
        <f t="shared" si="4"/>
        <v>126</v>
      </c>
      <c r="K44" t="str">
        <f t="shared" si="2"/>
        <v>03B-1</v>
      </c>
      <c r="L44" t="s">
        <v>889</v>
      </c>
      <c r="M44" s="30"/>
      <c r="N44">
        <v>1</v>
      </c>
      <c r="O44" s="31" t="s">
        <v>123</v>
      </c>
      <c r="P44" s="32" t="s">
        <v>486</v>
      </c>
      <c r="Q44" s="32" t="s">
        <v>692</v>
      </c>
      <c r="R44" s="32" t="s">
        <v>693</v>
      </c>
      <c r="S44" s="32" t="s">
        <v>890</v>
      </c>
      <c r="T44" s="36" t="s">
        <v>891</v>
      </c>
    </row>
    <row r="45" ht="15" customHeight="1" spans="1:20" x14ac:dyDescent="0.25">
      <c r="A45">
        <v>1</v>
      </c>
      <c r="B45" t="str">
        <f>LEFT(Table_clallam_Oversight_ActiveFunds[[#This Row],[Agency]],3)</f>
        <v>075</v>
      </c>
      <c r="C45" t="s">
        <v>887</v>
      </c>
      <c r="D45" t="s">
        <v>892</v>
      </c>
      <c r="E45" t="str">
        <f>LEFT(Table_clallam_Oversight_ActiveFunds[[#This Row],[Fund]],5)</f>
        <v>09R-1</v>
      </c>
      <c r="G45" t="str">
        <f t="shared" si="1"/>
        <v>140</v>
      </c>
      <c r="H45">
        <v>42</v>
      </c>
      <c r="I45" t="s">
        <v>893</v>
      </c>
      <c r="J45" t="str">
        <f t="shared" si="4"/>
        <v>140</v>
      </c>
      <c r="K45" t="str">
        <f t="shared" si="2"/>
        <v>03C-1</v>
      </c>
      <c r="L45" t="s">
        <v>894</v>
      </c>
      <c r="M45" s="30"/>
      <c r="N45">
        <v>1</v>
      </c>
      <c r="O45" s="34" t="s">
        <v>123</v>
      </c>
      <c r="P45" s="35" t="s">
        <v>895</v>
      </c>
      <c r="Q45" s="35" t="s">
        <v>692</v>
      </c>
      <c r="R45" s="32" t="s">
        <v>693</v>
      </c>
      <c r="S45" s="35" t="s">
        <v>896</v>
      </c>
      <c r="T45" s="33" t="s">
        <v>897</v>
      </c>
    </row>
    <row r="46" ht="15" customHeight="1" spans="1:20" x14ac:dyDescent="0.25">
      <c r="A46">
        <v>1</v>
      </c>
      <c r="B46" t="str">
        <f>LEFT(Table_clallam_Oversight_ActiveFunds[[#This Row],[Agency]],3)</f>
        <v>075</v>
      </c>
      <c r="C46" t="s">
        <v>887</v>
      </c>
      <c r="D46" t="s">
        <v>898</v>
      </c>
      <c r="E46" t="str">
        <f>LEFT(Table_clallam_Oversight_ActiveFunds[[#This Row],[Fund]],5)</f>
        <v>26B-1</v>
      </c>
      <c r="G46" t="str">
        <f t="shared" si="1"/>
        <v>142</v>
      </c>
      <c r="H46">
        <v>43</v>
      </c>
      <c r="I46" t="s">
        <v>899</v>
      </c>
      <c r="J46" t="str">
        <f t="shared" si="4"/>
        <v>142</v>
      </c>
      <c r="K46" t="str">
        <f t="shared" si="2"/>
        <v>03F-1</v>
      </c>
      <c r="L46" t="s">
        <v>900</v>
      </c>
      <c r="M46" s="30"/>
      <c r="N46">
        <v>1</v>
      </c>
      <c r="O46" s="31" t="s">
        <v>123</v>
      </c>
      <c r="P46" s="32" t="s">
        <v>901</v>
      </c>
      <c r="Q46" s="32" t="s">
        <v>692</v>
      </c>
      <c r="R46" s="32" t="s">
        <v>693</v>
      </c>
      <c r="S46" s="32" t="s">
        <v>902</v>
      </c>
      <c r="T46" s="36" t="s">
        <v>903</v>
      </c>
    </row>
    <row r="47" ht="15" customHeight="1" spans="1:20" x14ac:dyDescent="0.25">
      <c r="A47">
        <v>1</v>
      </c>
      <c r="B47" t="str">
        <f>LEFT(Table_clallam_Oversight_ActiveFunds[[#This Row],[Agency]],3)</f>
        <v>075</v>
      </c>
      <c r="C47" t="s">
        <v>887</v>
      </c>
      <c r="D47" t="s">
        <v>904</v>
      </c>
      <c r="E47" t="str">
        <f>LEFT(Table_clallam_Oversight_ActiveFunds[[#This Row],[Fund]],5)</f>
        <v>081-1</v>
      </c>
      <c r="G47" t="str">
        <f t="shared" si="1"/>
        <v>147</v>
      </c>
      <c r="H47">
        <v>44</v>
      </c>
      <c r="I47" t="s">
        <v>905</v>
      </c>
      <c r="J47" t="str">
        <f t="shared" si="4"/>
        <v>147</v>
      </c>
      <c r="K47" t="str">
        <f t="shared" si="2"/>
        <v>03L-1</v>
      </c>
      <c r="L47" t="s">
        <v>906</v>
      </c>
      <c r="M47" s="30"/>
      <c r="N47">
        <v>1</v>
      </c>
      <c r="O47" s="34" t="s">
        <v>123</v>
      </c>
      <c r="P47" s="35" t="s">
        <v>488</v>
      </c>
      <c r="Q47" s="35" t="s">
        <v>692</v>
      </c>
      <c r="R47" s="32" t="s">
        <v>693</v>
      </c>
      <c r="S47" s="35" t="s">
        <v>907</v>
      </c>
      <c r="T47" s="33" t="s">
        <v>908</v>
      </c>
    </row>
    <row r="48" ht="15" customHeight="1" spans="1:20" x14ac:dyDescent="0.25">
      <c r="A48">
        <v>1</v>
      </c>
      <c r="B48" t="str">
        <f>LEFT(Table_clallam_Oversight_ActiveFunds[[#This Row],[Agency]],3)</f>
        <v>076</v>
      </c>
      <c r="C48" t="s">
        <v>909</v>
      </c>
      <c r="D48" t="s">
        <v>28</v>
      </c>
      <c r="E48" t="str">
        <f>LEFT(Table_clallam_Oversight_ActiveFunds[[#This Row],[Fund]],5)</f>
        <v>001-1</v>
      </c>
      <c r="G48" t="str">
        <f t="shared" si="1"/>
        <v>160</v>
      </c>
      <c r="H48">
        <v>45</v>
      </c>
      <c r="I48" t="s">
        <v>910</v>
      </c>
      <c r="J48" t="str">
        <f t="shared" si="4"/>
        <v>160</v>
      </c>
      <c r="K48" t="str">
        <f t="shared" si="2"/>
        <v>03M-1</v>
      </c>
      <c r="L48" t="s">
        <v>911</v>
      </c>
      <c r="M48" s="30"/>
      <c r="N48">
        <v>1</v>
      </c>
      <c r="O48" s="31" t="s">
        <v>123</v>
      </c>
      <c r="P48" s="32" t="s">
        <v>492</v>
      </c>
      <c r="Q48" s="32" t="s">
        <v>692</v>
      </c>
      <c r="R48" s="32" t="s">
        <v>693</v>
      </c>
      <c r="S48" s="32" t="s">
        <v>912</v>
      </c>
      <c r="T48" s="36" t="s">
        <v>913</v>
      </c>
    </row>
    <row r="49" ht="15" customHeight="1" spans="1:20" x14ac:dyDescent="0.25">
      <c r="A49">
        <v>1</v>
      </c>
      <c r="B49" t="str">
        <f>LEFT(Table_clallam_Oversight_ActiveFunds[[#This Row],[Agency]],3)</f>
        <v>076</v>
      </c>
      <c r="C49" t="s">
        <v>909</v>
      </c>
      <c r="D49" t="s">
        <v>144</v>
      </c>
      <c r="E49" t="str">
        <f>LEFT(Table_clallam_Oversight_ActiveFunds[[#This Row],[Fund]],5)</f>
        <v>001-2</v>
      </c>
      <c r="G49" t="str">
        <f t="shared" si="1"/>
        <v>163</v>
      </c>
      <c r="H49">
        <v>46</v>
      </c>
      <c r="I49" t="s">
        <v>914</v>
      </c>
      <c r="J49" t="str">
        <f t="shared" si="4"/>
        <v>163</v>
      </c>
      <c r="K49" t="str">
        <f t="shared" si="2"/>
        <v>03N-1</v>
      </c>
      <c r="L49" t="s">
        <v>915</v>
      </c>
      <c r="M49" s="30"/>
      <c r="N49">
        <v>1</v>
      </c>
      <c r="O49" s="34" t="s">
        <v>123</v>
      </c>
      <c r="P49" s="35" t="s">
        <v>916</v>
      </c>
      <c r="Q49" s="35" t="s">
        <v>692</v>
      </c>
      <c r="R49" s="32" t="s">
        <v>693</v>
      </c>
      <c r="S49" s="35" t="s">
        <v>917</v>
      </c>
      <c r="T49" s="33" t="s">
        <v>918</v>
      </c>
    </row>
    <row r="50" ht="15" customHeight="1" spans="1:20" x14ac:dyDescent="0.25">
      <c r="A50">
        <v>1</v>
      </c>
      <c r="B50" t="str">
        <f>LEFT(Table_clallam_Oversight_ActiveFunds[[#This Row],[Agency]],3)</f>
        <v>076</v>
      </c>
      <c r="C50" t="s">
        <v>909</v>
      </c>
      <c r="D50" t="s">
        <v>712</v>
      </c>
      <c r="E50" t="str">
        <f>LEFT(Table_clallam_Oversight_ActiveFunds[[#This Row],[Fund]],5)</f>
        <v>001-7</v>
      </c>
      <c r="G50" t="str">
        <f t="shared" si="1"/>
        <v>165</v>
      </c>
      <c r="H50">
        <v>47</v>
      </c>
      <c r="I50" t="s">
        <v>919</v>
      </c>
      <c r="J50" t="str">
        <f t="shared" si="4"/>
        <v>165</v>
      </c>
      <c r="K50" t="str">
        <f t="shared" si="2"/>
        <v>03P-1</v>
      </c>
      <c r="L50" t="s">
        <v>920</v>
      </c>
      <c r="M50" s="30"/>
      <c r="N50">
        <v>1</v>
      </c>
      <c r="O50" s="31" t="s">
        <v>123</v>
      </c>
      <c r="P50" s="32" t="s">
        <v>500</v>
      </c>
      <c r="Q50" s="32" t="s">
        <v>692</v>
      </c>
      <c r="R50" s="32" t="s">
        <v>693</v>
      </c>
      <c r="S50" s="32" t="s">
        <v>921</v>
      </c>
      <c r="T50" s="36" t="s">
        <v>922</v>
      </c>
    </row>
    <row r="51" ht="15" customHeight="1" spans="1:20" x14ac:dyDescent="0.25">
      <c r="A51">
        <v>1</v>
      </c>
      <c r="B51" t="str">
        <f>LEFT(Table_clallam_Oversight_ActiveFunds[[#This Row],[Agency]],3)</f>
        <v>076</v>
      </c>
      <c r="C51" t="s">
        <v>909</v>
      </c>
      <c r="D51" t="s">
        <v>719</v>
      </c>
      <c r="E51" t="str">
        <f>LEFT(Table_clallam_Oversight_ActiveFunds[[#This Row],[Fund]],5)</f>
        <v>001-A</v>
      </c>
      <c r="G51" t="str">
        <f t="shared" si="1"/>
        <v>166</v>
      </c>
      <c r="H51">
        <v>48</v>
      </c>
      <c r="I51" t="s">
        <v>263</v>
      </c>
      <c r="J51" t="str">
        <f t="shared" si="4"/>
        <v>166</v>
      </c>
      <c r="K51" t="str">
        <f t="shared" si="2"/>
        <v>03R-1</v>
      </c>
      <c r="L51" t="s">
        <v>923</v>
      </c>
      <c r="M51" s="30"/>
      <c r="N51">
        <v>1</v>
      </c>
      <c r="O51" s="34" t="s">
        <v>123</v>
      </c>
      <c r="P51" s="35" t="s">
        <v>502</v>
      </c>
      <c r="Q51" s="35" t="s">
        <v>692</v>
      </c>
      <c r="R51" s="32" t="s">
        <v>693</v>
      </c>
      <c r="S51" s="35" t="s">
        <v>924</v>
      </c>
      <c r="T51" s="33" t="s">
        <v>925</v>
      </c>
    </row>
    <row r="52" ht="15" customHeight="1" spans="1:20" x14ac:dyDescent="0.25">
      <c r="A52">
        <v>1</v>
      </c>
      <c r="B52" t="str">
        <f>LEFT(Table_clallam_Oversight_ActiveFunds[[#This Row],[Agency]],3)</f>
        <v>076</v>
      </c>
      <c r="C52" t="s">
        <v>909</v>
      </c>
      <c r="D52" t="s">
        <v>725</v>
      </c>
      <c r="E52" t="str">
        <f>LEFT(Table_clallam_Oversight_ActiveFunds[[#This Row],[Fund]],5)</f>
        <v>001-C</v>
      </c>
      <c r="G52" t="str">
        <f t="shared" si="1"/>
        <v>167</v>
      </c>
      <c r="H52">
        <v>49</v>
      </c>
      <c r="I52" t="s">
        <v>926</v>
      </c>
      <c r="J52" t="str">
        <f t="shared" si="4"/>
        <v>167</v>
      </c>
      <c r="K52" t="str">
        <f t="shared" si="2"/>
        <v>041-1</v>
      </c>
      <c r="L52" t="s">
        <v>927</v>
      </c>
      <c r="M52" s="30"/>
      <c r="N52">
        <v>1</v>
      </c>
      <c r="O52" s="31" t="s">
        <v>123</v>
      </c>
      <c r="P52" s="32" t="s">
        <v>504</v>
      </c>
      <c r="Q52" s="32" t="s">
        <v>692</v>
      </c>
      <c r="R52" s="32" t="s">
        <v>693</v>
      </c>
      <c r="S52" s="32" t="s">
        <v>928</v>
      </c>
      <c r="T52" s="36" t="s">
        <v>929</v>
      </c>
    </row>
    <row r="53" ht="15" customHeight="1" spans="1:20" x14ac:dyDescent="0.25">
      <c r="A53">
        <v>1</v>
      </c>
      <c r="B53" t="str">
        <f>LEFT(Table_clallam_Oversight_ActiveFunds[[#This Row],[Agency]],3)</f>
        <v>076</v>
      </c>
      <c r="C53" t="s">
        <v>909</v>
      </c>
      <c r="D53" t="s">
        <v>737</v>
      </c>
      <c r="E53" t="str">
        <f>LEFT(Table_clallam_Oversight_ActiveFunds[[#This Row],[Fund]],5)</f>
        <v>001-H</v>
      </c>
      <c r="G53" t="str">
        <f t="shared" si="1"/>
        <v>179</v>
      </c>
      <c r="H53">
        <v>50</v>
      </c>
      <c r="I53" t="s">
        <v>930</v>
      </c>
      <c r="J53" t="str">
        <f t="shared" si="4"/>
        <v>179</v>
      </c>
      <c r="K53" t="str">
        <f t="shared" si="2"/>
        <v>042-1</v>
      </c>
      <c r="L53" t="s">
        <v>931</v>
      </c>
      <c r="M53" s="30"/>
      <c r="N53">
        <v>1</v>
      </c>
      <c r="O53" s="34" t="s">
        <v>123</v>
      </c>
      <c r="P53" s="35" t="s">
        <v>506</v>
      </c>
      <c r="Q53" s="35" t="s">
        <v>692</v>
      </c>
      <c r="R53" s="32" t="s">
        <v>693</v>
      </c>
      <c r="S53" s="35" t="s">
        <v>932</v>
      </c>
      <c r="T53" s="33" t="s">
        <v>933</v>
      </c>
    </row>
    <row r="54" ht="15" customHeight="1" spans="1:20" x14ac:dyDescent="0.25">
      <c r="A54">
        <v>1</v>
      </c>
      <c r="B54" t="str">
        <f>LEFT(Table_clallam_Oversight_ActiveFunds[[#This Row],[Agency]],3)</f>
        <v>076</v>
      </c>
      <c r="C54" t="s">
        <v>909</v>
      </c>
      <c r="D54" t="s">
        <v>748</v>
      </c>
      <c r="E54" t="str">
        <f>LEFT(Table_clallam_Oversight_ActiveFunds[[#This Row],[Fund]],5)</f>
        <v>001-X</v>
      </c>
      <c r="G54" t="str">
        <f t="shared" si="1"/>
        <v>185</v>
      </c>
      <c r="H54">
        <v>51</v>
      </c>
      <c r="I54" t="s">
        <v>934</v>
      </c>
      <c r="J54" t="str">
        <f t="shared" si="4"/>
        <v>185</v>
      </c>
      <c r="K54" t="str">
        <f t="shared" si="2"/>
        <v>044-1</v>
      </c>
      <c r="L54" t="s">
        <v>935</v>
      </c>
      <c r="M54" s="30"/>
      <c r="N54">
        <v>1</v>
      </c>
      <c r="O54" s="31" t="s">
        <v>123</v>
      </c>
      <c r="P54" s="32" t="s">
        <v>936</v>
      </c>
      <c r="Q54" s="32" t="s">
        <v>692</v>
      </c>
      <c r="R54" s="32" t="s">
        <v>693</v>
      </c>
      <c r="S54" s="32" t="s">
        <v>937</v>
      </c>
      <c r="T54" s="36" t="s">
        <v>938</v>
      </c>
    </row>
    <row r="55" ht="15" customHeight="1" spans="1:20" x14ac:dyDescent="0.25">
      <c r="A55">
        <v>1</v>
      </c>
      <c r="B55" t="str">
        <f>LEFT(Table_clallam_Oversight_ActiveFunds[[#This Row],[Agency]],3)</f>
        <v>076</v>
      </c>
      <c r="C55" t="s">
        <v>909</v>
      </c>
      <c r="D55" t="s">
        <v>773</v>
      </c>
      <c r="E55" t="str">
        <f>LEFT(Table_clallam_Oversight_ActiveFunds[[#This Row],[Fund]],5)</f>
        <v>006-1</v>
      </c>
      <c r="G55" t="str">
        <f t="shared" si="1"/>
        <v>190</v>
      </c>
      <c r="H55">
        <v>52</v>
      </c>
      <c r="I55" t="s">
        <v>939</v>
      </c>
      <c r="J55" t="str">
        <f t="shared" si="4"/>
        <v>190</v>
      </c>
      <c r="K55" t="str">
        <f t="shared" si="2"/>
        <v>045-1</v>
      </c>
      <c r="L55" t="s">
        <v>940</v>
      </c>
      <c r="M55" s="30"/>
      <c r="N55">
        <v>1</v>
      </c>
      <c r="O55" s="34" t="s">
        <v>123</v>
      </c>
      <c r="P55" s="35" t="s">
        <v>508</v>
      </c>
      <c r="Q55" s="35" t="s">
        <v>692</v>
      </c>
      <c r="R55" s="32" t="s">
        <v>693</v>
      </c>
      <c r="S55" s="35" t="s">
        <v>941</v>
      </c>
      <c r="T55" s="33" t="s">
        <v>942</v>
      </c>
    </row>
    <row r="56" ht="15" customHeight="1" spans="1:20" x14ac:dyDescent="0.25">
      <c r="A56">
        <v>1</v>
      </c>
      <c r="B56" t="str">
        <f>LEFT(Table_clallam_Oversight_ActiveFunds[[#This Row],[Agency]],3)</f>
        <v>076</v>
      </c>
      <c r="C56" t="s">
        <v>909</v>
      </c>
      <c r="D56" t="s">
        <v>830</v>
      </c>
      <c r="E56" t="str">
        <f>LEFT(Table_clallam_Oversight_ActiveFunds[[#This Row],[Fund]],5)</f>
        <v>02G-1</v>
      </c>
      <c r="G56" t="str">
        <f t="shared" si="1"/>
        <v>195</v>
      </c>
      <c r="H56">
        <v>53</v>
      </c>
      <c r="I56" t="s">
        <v>943</v>
      </c>
      <c r="J56" t="str">
        <f t="shared" si="4"/>
        <v>195</v>
      </c>
      <c r="K56" t="str">
        <f t="shared" si="2"/>
        <v>045-6</v>
      </c>
      <c r="L56" t="s">
        <v>944</v>
      </c>
      <c r="M56" s="30"/>
      <c r="N56">
        <v>1</v>
      </c>
      <c r="O56" s="31" t="s">
        <v>123</v>
      </c>
      <c r="P56" s="32" t="s">
        <v>510</v>
      </c>
      <c r="Q56" s="32" t="s">
        <v>692</v>
      </c>
      <c r="R56" s="32" t="s">
        <v>693</v>
      </c>
      <c r="S56" s="32" t="s">
        <v>945</v>
      </c>
      <c r="T56" s="36" t="s">
        <v>946</v>
      </c>
    </row>
    <row r="57" ht="15" customHeight="1" spans="1:20" x14ac:dyDescent="0.25">
      <c r="A57">
        <v>1</v>
      </c>
      <c r="B57" t="str">
        <f>LEFT(Table_clallam_Oversight_ActiveFunds[[#This Row],[Agency]],3)</f>
        <v>076</v>
      </c>
      <c r="C57" t="s">
        <v>909</v>
      </c>
      <c r="D57" t="s">
        <v>947</v>
      </c>
      <c r="E57" t="str">
        <f>LEFT(Table_clallam_Oversight_ActiveFunds[[#This Row],[Fund]],5)</f>
        <v>202-1</v>
      </c>
      <c r="G57" t="str">
        <f t="shared" si="1"/>
        <v>205</v>
      </c>
      <c r="H57">
        <v>54</v>
      </c>
      <c r="I57" t="s">
        <v>948</v>
      </c>
      <c r="J57" t="str">
        <f t="shared" si="4"/>
        <v>205</v>
      </c>
      <c r="K57" t="str">
        <f t="shared" si="2"/>
        <v>048-1</v>
      </c>
      <c r="L57" t="s">
        <v>949</v>
      </c>
      <c r="M57" s="30"/>
      <c r="N57">
        <v>1</v>
      </c>
      <c r="O57" s="31" t="s">
        <v>123</v>
      </c>
      <c r="P57" s="32" t="s">
        <v>512</v>
      </c>
      <c r="Q57" s="32" t="s">
        <v>692</v>
      </c>
      <c r="R57" s="32" t="s">
        <v>693</v>
      </c>
      <c r="S57" s="32" t="s">
        <v>950</v>
      </c>
      <c r="T57" s="36" t="s">
        <v>951</v>
      </c>
    </row>
    <row r="58" ht="15" customHeight="1" spans="1:20" x14ac:dyDescent="0.25">
      <c r="A58">
        <v>1</v>
      </c>
      <c r="B58" t="str">
        <f>LEFT(Table_clallam_Oversight_ActiveFunds[[#This Row],[Agency]],3)</f>
        <v>076</v>
      </c>
      <c r="C58" t="s">
        <v>909</v>
      </c>
      <c r="D58" t="s">
        <v>952</v>
      </c>
      <c r="E58" t="str">
        <f>LEFT(Table_clallam_Oversight_ActiveFunds[[#This Row],[Fund]],5)</f>
        <v>24B-1</v>
      </c>
      <c r="G58" t="str">
        <f t="shared" si="1"/>
        <v>215</v>
      </c>
      <c r="H58">
        <v>55</v>
      </c>
      <c r="I58" t="s">
        <v>953</v>
      </c>
      <c r="J58" t="str">
        <f t="shared" si="4"/>
        <v>215</v>
      </c>
      <c r="K58" t="str">
        <f t="shared" si="2"/>
        <v>04E-1</v>
      </c>
      <c r="L58" t="s">
        <v>954</v>
      </c>
      <c r="M58" s="30"/>
      <c r="N58">
        <v>1</v>
      </c>
      <c r="O58" s="34" t="s">
        <v>123</v>
      </c>
      <c r="P58" s="35" t="s">
        <v>514</v>
      </c>
      <c r="Q58" s="35" t="s">
        <v>692</v>
      </c>
      <c r="R58" s="35" t="s">
        <v>693</v>
      </c>
      <c r="S58" s="35" t="s">
        <v>955</v>
      </c>
      <c r="T58" s="33" t="s">
        <v>956</v>
      </c>
    </row>
    <row r="59" ht="15" customHeight="1" spans="1:20" x14ac:dyDescent="0.25">
      <c r="A59">
        <v>1</v>
      </c>
      <c r="B59" t="str">
        <f>LEFT(Table_clallam_Oversight_ActiveFunds[[#This Row],[Agency]],3)</f>
        <v>076</v>
      </c>
      <c r="C59" t="s">
        <v>909</v>
      </c>
      <c r="D59" t="s">
        <v>442</v>
      </c>
      <c r="E59" t="str">
        <f>LEFT(Table_clallam_Oversight_ActiveFunds[[#This Row],[Fund]],5)</f>
        <v>24J-1</v>
      </c>
      <c r="G59" t="str">
        <f t="shared" si="1"/>
        <v>220</v>
      </c>
      <c r="H59">
        <v>56</v>
      </c>
      <c r="I59" t="s">
        <v>957</v>
      </c>
      <c r="J59" t="str">
        <f t="shared" si="4"/>
        <v>220</v>
      </c>
      <c r="K59" t="str">
        <f t="shared" si="2"/>
        <v>04F-1</v>
      </c>
      <c r="L59" t="s">
        <v>958</v>
      </c>
      <c r="M59" s="30"/>
      <c r="N59">
        <v>1</v>
      </c>
      <c r="O59" s="31" t="s">
        <v>123</v>
      </c>
      <c r="P59" s="32" t="s">
        <v>516</v>
      </c>
      <c r="Q59" s="32" t="s">
        <v>692</v>
      </c>
      <c r="R59" s="32" t="s">
        <v>693</v>
      </c>
      <c r="S59" s="32" t="s">
        <v>959</v>
      </c>
      <c r="T59" s="36" t="s">
        <v>960</v>
      </c>
    </row>
    <row r="60" ht="15" customHeight="1" spans="1:20" x14ac:dyDescent="0.25">
      <c r="A60">
        <v>1</v>
      </c>
      <c r="B60" t="str">
        <f>LEFT(Table_clallam_Oversight_ActiveFunds[[#This Row],[Agency]],3)</f>
        <v>076</v>
      </c>
      <c r="C60" t="s">
        <v>909</v>
      </c>
      <c r="D60" t="s">
        <v>961</v>
      </c>
      <c r="E60" t="str">
        <f>LEFT(Table_clallam_Oversight_ActiveFunds[[#This Row],[Fund]],5)</f>
        <v>441-1</v>
      </c>
      <c r="G60" t="str">
        <f t="shared" si="1"/>
        <v>225</v>
      </c>
      <c r="H60">
        <v>57</v>
      </c>
      <c r="I60" t="s">
        <v>962</v>
      </c>
      <c r="J60" t="str">
        <f t="shared" si="4"/>
        <v>225</v>
      </c>
      <c r="K60" t="str">
        <f t="shared" si="2"/>
        <v>04H-1</v>
      </c>
      <c r="L60" t="s">
        <v>963</v>
      </c>
      <c r="M60" s="30"/>
      <c r="N60">
        <v>1</v>
      </c>
      <c r="O60" s="34" t="s">
        <v>123</v>
      </c>
      <c r="P60" s="35" t="s">
        <v>518</v>
      </c>
      <c r="Q60" s="35" t="s">
        <v>692</v>
      </c>
      <c r="R60" s="35" t="s">
        <v>693</v>
      </c>
      <c r="S60" s="35" t="s">
        <v>964</v>
      </c>
      <c r="T60" s="33" t="s">
        <v>965</v>
      </c>
    </row>
    <row r="61" ht="15" customHeight="1" spans="1:20" x14ac:dyDescent="0.25">
      <c r="A61">
        <v>1</v>
      </c>
      <c r="B61" t="str">
        <f>LEFT(Table_clallam_Oversight_ActiveFunds[[#This Row],[Agency]],3)</f>
        <v>076</v>
      </c>
      <c r="C61" t="s">
        <v>909</v>
      </c>
      <c r="D61" t="s">
        <v>966</v>
      </c>
      <c r="E61" t="str">
        <f>LEFT(Table_clallam_Oversight_ActiveFunds[[#This Row],[Fund]],5)</f>
        <v>447-6</v>
      </c>
      <c r="G61" t="str">
        <f t="shared" si="1"/>
        <v>227</v>
      </c>
      <c r="H61">
        <v>58</v>
      </c>
      <c r="I61" t="s">
        <v>967</v>
      </c>
      <c r="J61" t="str">
        <f t="shared" si="4"/>
        <v>227</v>
      </c>
      <c r="K61" t="str">
        <f t="shared" si="2"/>
        <v>04M-1</v>
      </c>
      <c r="L61" t="s">
        <v>968</v>
      </c>
      <c r="M61" s="30"/>
      <c r="N61">
        <v>1</v>
      </c>
      <c r="O61" s="31" t="s">
        <v>123</v>
      </c>
      <c r="P61" s="32" t="s">
        <v>522</v>
      </c>
      <c r="Q61" s="32" t="s">
        <v>692</v>
      </c>
      <c r="R61" s="32" t="s">
        <v>693</v>
      </c>
      <c r="S61" s="32" t="s">
        <v>969</v>
      </c>
      <c r="T61" s="36" t="s">
        <v>970</v>
      </c>
    </row>
    <row r="62" ht="15" customHeight="1" spans="1:20" x14ac:dyDescent="0.25">
      <c r="A62">
        <v>1</v>
      </c>
      <c r="B62" t="str">
        <f>LEFT(Table_clallam_Oversight_ActiveFunds[[#This Row],[Agency]],3)</f>
        <v>076</v>
      </c>
      <c r="C62" t="s">
        <v>909</v>
      </c>
      <c r="D62" t="s">
        <v>971</v>
      </c>
      <c r="E62" t="str">
        <f>LEFT(Table_clallam_Oversight_ActiveFunds[[#This Row],[Fund]],5)</f>
        <v>706-2</v>
      </c>
      <c r="G62" t="str">
        <f t="shared" si="1"/>
        <v>228</v>
      </c>
      <c r="H62">
        <v>59</v>
      </c>
      <c r="I62" t="s">
        <v>972</v>
      </c>
      <c r="J62" t="str">
        <f t="shared" si="4"/>
        <v>228</v>
      </c>
      <c r="K62" t="str">
        <f t="shared" si="2"/>
        <v>04R-2</v>
      </c>
      <c r="L62" t="s">
        <v>973</v>
      </c>
      <c r="M62" s="30"/>
      <c r="N62">
        <v>1</v>
      </c>
      <c r="O62" s="34" t="s">
        <v>123</v>
      </c>
      <c r="P62" s="35" t="s">
        <v>974</v>
      </c>
      <c r="Q62" s="35" t="s">
        <v>692</v>
      </c>
      <c r="R62" s="35" t="s">
        <v>693</v>
      </c>
      <c r="S62" s="35" t="s">
        <v>975</v>
      </c>
      <c r="T62" s="33" t="s">
        <v>976</v>
      </c>
    </row>
    <row r="63" ht="15" customHeight="1" spans="1:20" x14ac:dyDescent="0.25">
      <c r="A63">
        <v>1</v>
      </c>
      <c r="B63" t="str">
        <f>LEFT(Table_clallam_Oversight_ActiveFunds[[#This Row],[Agency]],3)</f>
        <v>076</v>
      </c>
      <c r="C63" t="s">
        <v>909</v>
      </c>
      <c r="D63" t="s">
        <v>971</v>
      </c>
      <c r="E63" t="str">
        <f>LEFT(Table_clallam_Oversight_ActiveFunds[[#This Row],[Fund]],5)</f>
        <v>706-2</v>
      </c>
      <c r="G63" t="str">
        <f t="shared" si="1"/>
        <v>229</v>
      </c>
      <c r="H63">
        <v>60</v>
      </c>
      <c r="I63" t="s">
        <v>977</v>
      </c>
      <c r="J63" t="str">
        <f t="shared" si="4"/>
        <v>229</v>
      </c>
      <c r="K63" t="str">
        <f t="shared" si="2"/>
        <v>04V-1</v>
      </c>
      <c r="L63" t="s">
        <v>978</v>
      </c>
      <c r="M63" s="30"/>
      <c r="N63">
        <v>1</v>
      </c>
      <c r="O63" s="31" t="s">
        <v>123</v>
      </c>
      <c r="P63" s="32" t="s">
        <v>524</v>
      </c>
      <c r="Q63" s="32" t="s">
        <v>692</v>
      </c>
      <c r="R63" s="32" t="s">
        <v>693</v>
      </c>
      <c r="S63" s="32" t="s">
        <v>979</v>
      </c>
      <c r="T63" s="36" t="s">
        <v>980</v>
      </c>
    </row>
    <row r="64" ht="15" customHeight="1" spans="1:20" x14ac:dyDescent="0.25">
      <c r="A64">
        <v>1</v>
      </c>
      <c r="B64" t="str">
        <f>LEFT(Table_clallam_Oversight_ActiveFunds[[#This Row],[Agency]],3)</f>
        <v>080</v>
      </c>
      <c r="C64" t="s">
        <v>981</v>
      </c>
      <c r="D64" t="s">
        <v>28</v>
      </c>
      <c r="E64" t="str">
        <f>LEFT(Table_clallam_Oversight_ActiveFunds[[#This Row],[Fund]],5)</f>
        <v>001-1</v>
      </c>
      <c r="G64" t="str">
        <f t="shared" si="1"/>
        <v>235</v>
      </c>
      <c r="H64">
        <v>61</v>
      </c>
      <c r="I64" t="s">
        <v>982</v>
      </c>
      <c r="J64" t="str">
        <f t="shared" si="4"/>
        <v>235</v>
      </c>
      <c r="K64" t="str">
        <f t="shared" si="2"/>
        <v>04W-1</v>
      </c>
      <c r="L64" t="s">
        <v>983</v>
      </c>
      <c r="M64" s="30"/>
      <c r="N64">
        <v>1</v>
      </c>
      <c r="O64" s="34" t="s">
        <v>123</v>
      </c>
      <c r="P64" s="35" t="s">
        <v>984</v>
      </c>
      <c r="Q64" s="35" t="s">
        <v>692</v>
      </c>
      <c r="R64" s="35" t="s">
        <v>693</v>
      </c>
      <c r="S64" s="35" t="s">
        <v>985</v>
      </c>
      <c r="T64" s="33" t="s">
        <v>986</v>
      </c>
    </row>
    <row r="65" ht="15" customHeight="1" spans="1:20" x14ac:dyDescent="0.25">
      <c r="A65">
        <v>1</v>
      </c>
      <c r="B65" t="str">
        <f>LEFT(Table_clallam_Oversight_ActiveFunds[[#This Row],[Agency]],3)</f>
        <v>080</v>
      </c>
      <c r="C65" t="s">
        <v>981</v>
      </c>
      <c r="D65" t="s">
        <v>712</v>
      </c>
      <c r="E65" t="str">
        <f>LEFT(Table_clallam_Oversight_ActiveFunds[[#This Row],[Fund]],5)</f>
        <v>001-7</v>
      </c>
      <c r="G65" t="str">
        <f t="shared" si="1"/>
        <v>240</v>
      </c>
      <c r="H65">
        <v>62</v>
      </c>
      <c r="I65" t="s">
        <v>987</v>
      </c>
      <c r="J65" t="str">
        <f t="shared" si="4"/>
        <v>240</v>
      </c>
      <c r="K65" t="str">
        <f t="shared" si="2"/>
        <v>058-1</v>
      </c>
      <c r="L65" t="s">
        <v>988</v>
      </c>
      <c r="M65" s="30"/>
      <c r="N65">
        <v>1</v>
      </c>
      <c r="O65" s="31" t="s">
        <v>526</v>
      </c>
      <c r="P65" s="32" t="s">
        <v>376</v>
      </c>
      <c r="Q65" s="32" t="s">
        <v>692</v>
      </c>
      <c r="R65" s="32" t="s">
        <v>693</v>
      </c>
      <c r="S65" s="32" t="s">
        <v>760</v>
      </c>
      <c r="T65" s="36" t="s">
        <v>989</v>
      </c>
    </row>
    <row r="66" ht="15" customHeight="1" spans="1:20" x14ac:dyDescent="0.25">
      <c r="A66">
        <v>1</v>
      </c>
      <c r="B66" t="str">
        <f>LEFT(Table_clallam_Oversight_ActiveFunds[[#This Row],[Agency]],3)</f>
        <v>080</v>
      </c>
      <c r="C66" t="s">
        <v>981</v>
      </c>
      <c r="D66" t="s">
        <v>990</v>
      </c>
      <c r="E66" t="str">
        <f>LEFT(Table_clallam_Oversight_ActiveFunds[[#This Row],[Fund]],5)</f>
        <v>07L-6</v>
      </c>
      <c r="G66" t="str">
        <f t="shared" si="1"/>
        <v>245</v>
      </c>
      <c r="H66">
        <v>63</v>
      </c>
      <c r="I66" t="s">
        <v>991</v>
      </c>
      <c r="J66" t="str">
        <f t="shared" si="4"/>
        <v>245</v>
      </c>
      <c r="K66" t="str">
        <f t="shared" si="2"/>
        <v>05C-1</v>
      </c>
      <c r="L66" t="s">
        <v>992</v>
      </c>
      <c r="M66" s="30"/>
      <c r="N66">
        <v>1</v>
      </c>
      <c r="O66" s="34" t="s">
        <v>526</v>
      </c>
      <c r="P66" s="35" t="s">
        <v>993</v>
      </c>
      <c r="Q66" s="35" t="s">
        <v>692</v>
      </c>
      <c r="R66" s="35" t="s">
        <v>693</v>
      </c>
      <c r="S66" s="35" t="s">
        <v>755</v>
      </c>
      <c r="T66" s="33" t="s">
        <v>994</v>
      </c>
    </row>
    <row r="67" ht="15" customHeight="1" spans="1:20" x14ac:dyDescent="0.25">
      <c r="A67">
        <v>1</v>
      </c>
      <c r="B67" t="str">
        <f>LEFT(Table_clallam_Oversight_ActiveFunds[[#This Row],[Agency]],3)</f>
        <v>082</v>
      </c>
      <c r="C67" t="s">
        <v>995</v>
      </c>
      <c r="D67" t="s">
        <v>28</v>
      </c>
      <c r="E67" t="str">
        <f>LEFT(Table_clallam_Oversight_ActiveFunds[[#This Row],[Fund]],5)</f>
        <v>001-1</v>
      </c>
      <c r="G67" t="str">
        <f t="shared" si="1"/>
        <v>275</v>
      </c>
      <c r="H67">
        <v>64</v>
      </c>
      <c r="I67" t="s">
        <v>996</v>
      </c>
      <c r="J67" t="str">
        <f t="shared" si="4"/>
        <v>275</v>
      </c>
      <c r="K67" t="str">
        <f t="shared" si="2"/>
        <v>05H-1</v>
      </c>
      <c r="L67" t="s">
        <v>997</v>
      </c>
      <c r="M67" s="30"/>
      <c r="N67">
        <v>1</v>
      </c>
      <c r="O67" s="31" t="s">
        <v>86</v>
      </c>
      <c r="P67" s="32" t="s">
        <v>376</v>
      </c>
      <c r="Q67" s="32" t="s">
        <v>692</v>
      </c>
      <c r="R67" s="32" t="s">
        <v>693</v>
      </c>
      <c r="S67" s="32" t="s">
        <v>760</v>
      </c>
      <c r="T67" s="36" t="s">
        <v>989</v>
      </c>
    </row>
    <row r="68" ht="15" customHeight="1" spans="1:20" x14ac:dyDescent="0.25">
      <c r="A68">
        <v>1</v>
      </c>
      <c r="B68" t="str">
        <f>LEFT(Table_clallam_Oversight_ActiveFunds[[#This Row],[Agency]],3)</f>
        <v>082</v>
      </c>
      <c r="C68" t="s">
        <v>995</v>
      </c>
      <c r="D68" t="s">
        <v>998</v>
      </c>
      <c r="E68" t="str">
        <f>LEFT(Table_clallam_Oversight_ActiveFunds[[#This Row],[Fund]],5)</f>
        <v>22W-1</v>
      </c>
      <c r="G68" t="str">
        <f t="shared" si="1"/>
        <v>300</v>
      </c>
      <c r="H68">
        <v>65</v>
      </c>
      <c r="I68" t="s">
        <v>999</v>
      </c>
      <c r="J68" t="str">
        <f t="shared" ref="J68:J99" si="5">LEFT(I68,3)</f>
        <v>300</v>
      </c>
      <c r="K68" t="str">
        <f t="shared" si="2"/>
        <v>05H-2</v>
      </c>
      <c r="L68" t="s">
        <v>1000</v>
      </c>
      <c r="M68" s="30"/>
      <c r="N68">
        <v>1</v>
      </c>
      <c r="O68" s="34" t="s">
        <v>86</v>
      </c>
      <c r="P68" s="35" t="s">
        <v>993</v>
      </c>
      <c r="Q68" s="35" t="s">
        <v>692</v>
      </c>
      <c r="R68" s="35" t="s">
        <v>693</v>
      </c>
      <c r="S68" s="35" t="s">
        <v>755</v>
      </c>
      <c r="T68" s="33" t="s">
        <v>994</v>
      </c>
    </row>
    <row r="69" ht="15" customHeight="1" spans="1:20" x14ac:dyDescent="0.25">
      <c r="A69">
        <v>1</v>
      </c>
      <c r="B69" t="str">
        <f>LEFT(Table_clallam_Oversight_ActiveFunds[[#This Row],[Agency]],3)</f>
        <v>083</v>
      </c>
      <c r="C69" t="s">
        <v>1001</v>
      </c>
      <c r="D69" t="s">
        <v>1002</v>
      </c>
      <c r="E69" t="str">
        <f>LEFT(Table_clallam_Oversight_ActiveFunds[[#This Row],[Fund]],5)</f>
        <v>26H-1</v>
      </c>
      <c r="G69" t="str">
        <f t="shared" ref="G69:G132" si="6">LEFT(I69,3)</f>
        <v>303</v>
      </c>
      <c r="H69">
        <v>66</v>
      </c>
      <c r="I69" t="s">
        <v>1003</v>
      </c>
      <c r="J69" t="str">
        <f t="shared" si="5"/>
        <v>303</v>
      </c>
      <c r="K69" t="str">
        <f t="shared" ref="K69:K132" si="7">MID(L69,1,5)</f>
        <v>05R-1</v>
      </c>
      <c r="L69" t="s">
        <v>1004</v>
      </c>
      <c r="M69" s="30"/>
      <c r="N69">
        <v>1</v>
      </c>
      <c r="O69" s="31" t="s">
        <v>534</v>
      </c>
      <c r="P69" s="32" t="s">
        <v>376</v>
      </c>
      <c r="Q69" s="32" t="s">
        <v>692</v>
      </c>
      <c r="R69" s="32" t="s">
        <v>693</v>
      </c>
      <c r="S69" s="32" t="s">
        <v>760</v>
      </c>
      <c r="T69" s="36" t="s">
        <v>989</v>
      </c>
    </row>
    <row r="70" ht="15" customHeight="1" spans="1:20" x14ac:dyDescent="0.25">
      <c r="A70">
        <v>1</v>
      </c>
      <c r="B70" t="str">
        <f>LEFT(Table_clallam_Oversight_ActiveFunds[[#This Row],[Agency]],3)</f>
        <v>083</v>
      </c>
      <c r="C70" t="s">
        <v>1001</v>
      </c>
      <c r="D70" t="s">
        <v>1005</v>
      </c>
      <c r="E70" t="str">
        <f>LEFT(Table_clallam_Oversight_ActiveFunds[[#This Row],[Fund]],5)</f>
        <v>26J-6</v>
      </c>
      <c r="G70" t="str">
        <f t="shared" si="6"/>
        <v>305</v>
      </c>
      <c r="H70">
        <v>67</v>
      </c>
      <c r="I70" t="s">
        <v>1006</v>
      </c>
      <c r="J70" t="str">
        <f t="shared" si="5"/>
        <v>305</v>
      </c>
      <c r="K70" t="str">
        <f t="shared" si="7"/>
        <v>05W-1</v>
      </c>
      <c r="L70" t="s">
        <v>1007</v>
      </c>
      <c r="M70" s="30"/>
      <c r="N70">
        <v>1</v>
      </c>
      <c r="O70" s="34"/>
      <c r="P70" s="35"/>
      <c r="Q70" s="35"/>
      <c r="R70" s="35"/>
      <c r="S70" s="35"/>
      <c r="T70" s="33"/>
    </row>
    <row r="71" ht="15" customHeight="1" spans="1:20" x14ac:dyDescent="0.25">
      <c r="A71">
        <v>1</v>
      </c>
      <c r="B71" t="str">
        <f>LEFT(Table_clallam_Oversight_ActiveFunds[[#This Row],[Agency]],3)</f>
        <v>085</v>
      </c>
      <c r="C71" t="s">
        <v>1008</v>
      </c>
      <c r="D71" t="s">
        <v>28</v>
      </c>
      <c r="E71" t="str">
        <f>LEFT(Table_clallam_Oversight_ActiveFunds[[#This Row],[Fund]],5)</f>
        <v>001-1</v>
      </c>
      <c r="G71" t="str">
        <f t="shared" si="6"/>
        <v>307</v>
      </c>
      <c r="H71">
        <v>68</v>
      </c>
      <c r="I71" t="s">
        <v>1009</v>
      </c>
      <c r="J71" t="str">
        <f t="shared" si="5"/>
        <v>307</v>
      </c>
      <c r="K71" t="str">
        <f t="shared" si="7"/>
        <v>060-1</v>
      </c>
      <c r="L71" t="s">
        <v>1010</v>
      </c>
      <c r="M71" s="30"/>
      <c r="N71">
        <v>1</v>
      </c>
      <c r="O71" s="31"/>
      <c r="P71" s="32"/>
      <c r="Q71" s="32"/>
      <c r="R71" s="32"/>
      <c r="S71" s="32"/>
      <c r="T71" s="36"/>
    </row>
    <row r="72" ht="15" customHeight="1" spans="1:20" x14ac:dyDescent="0.25">
      <c r="A72">
        <v>1</v>
      </c>
      <c r="B72" t="str">
        <f>LEFT(Table_clallam_Oversight_ActiveFunds[[#This Row],[Agency]],3)</f>
        <v>085</v>
      </c>
      <c r="C72" t="s">
        <v>1008</v>
      </c>
      <c r="D72" t="s">
        <v>144</v>
      </c>
      <c r="E72" t="str">
        <f>LEFT(Table_clallam_Oversight_ActiveFunds[[#This Row],[Fund]],5)</f>
        <v>001-2</v>
      </c>
      <c r="G72" t="str">
        <f t="shared" si="6"/>
        <v>310</v>
      </c>
      <c r="H72">
        <v>69</v>
      </c>
      <c r="I72" t="s">
        <v>1011</v>
      </c>
      <c r="J72" t="str">
        <f t="shared" si="5"/>
        <v>310</v>
      </c>
      <c r="K72" t="str">
        <f t="shared" si="7"/>
        <v>062-1</v>
      </c>
      <c r="L72" t="s">
        <v>1012</v>
      </c>
      <c r="M72" s="30"/>
      <c r="N72">
        <v>1</v>
      </c>
      <c r="O72" s="34"/>
      <c r="P72" s="35"/>
      <c r="Q72" s="35"/>
      <c r="R72" s="35"/>
      <c r="S72" s="35"/>
      <c r="T72" s="33"/>
    </row>
    <row r="73" ht="15" customHeight="1" spans="1:20" x14ac:dyDescent="0.25">
      <c r="A73">
        <v>1</v>
      </c>
      <c r="B73" t="str">
        <f>LEFT(Table_clallam_Oversight_ActiveFunds[[#This Row],[Agency]],3)</f>
        <v>085</v>
      </c>
      <c r="C73" t="s">
        <v>1008</v>
      </c>
      <c r="D73" t="s">
        <v>737</v>
      </c>
      <c r="E73" t="str">
        <f>LEFT(Table_clallam_Oversight_ActiveFunds[[#This Row],[Fund]],5)</f>
        <v>001-H</v>
      </c>
      <c r="G73" t="str">
        <f t="shared" si="6"/>
        <v>315</v>
      </c>
      <c r="H73">
        <v>70</v>
      </c>
      <c r="I73" t="s">
        <v>1013</v>
      </c>
      <c r="J73" t="str">
        <f t="shared" si="5"/>
        <v>315</v>
      </c>
      <c r="K73" t="str">
        <f t="shared" si="7"/>
        <v>063-1</v>
      </c>
      <c r="L73" t="s">
        <v>1014</v>
      </c>
      <c r="M73" s="30"/>
      <c r="N73">
        <v>1</v>
      </c>
      <c r="O73" s="31"/>
      <c r="P73" s="32"/>
      <c r="Q73" s="32"/>
      <c r="R73" s="32"/>
      <c r="S73" s="32"/>
      <c r="T73" s="36"/>
    </row>
    <row r="74" ht="15" customHeight="1" spans="1:20" x14ac:dyDescent="0.25">
      <c r="A74">
        <v>1</v>
      </c>
      <c r="B74" t="str">
        <f>LEFT(Table_clallam_Oversight_ActiveFunds[[#This Row],[Agency]],3)</f>
        <v>085</v>
      </c>
      <c r="C74" t="s">
        <v>1008</v>
      </c>
      <c r="D74" t="s">
        <v>773</v>
      </c>
      <c r="E74" t="str">
        <f>LEFT(Table_clallam_Oversight_ActiveFunds[[#This Row],[Fund]],5)</f>
        <v>006-1</v>
      </c>
      <c r="G74" t="str">
        <f t="shared" si="6"/>
        <v>340</v>
      </c>
      <c r="H74">
        <v>71</v>
      </c>
      <c r="I74" t="s">
        <v>1015</v>
      </c>
      <c r="J74" t="str">
        <f t="shared" si="5"/>
        <v>340</v>
      </c>
      <c r="K74" t="str">
        <f t="shared" si="7"/>
        <v>064-1</v>
      </c>
      <c r="L74" t="s">
        <v>1016</v>
      </c>
      <c r="M74" s="30"/>
      <c r="N74">
        <v>1</v>
      </c>
      <c r="O74" s="34"/>
      <c r="P74" s="35"/>
      <c r="Q74" s="35"/>
      <c r="R74" s="35"/>
      <c r="S74" s="35"/>
      <c r="T74" s="33"/>
    </row>
    <row r="75" ht="15" customHeight="1" spans="1:20" x14ac:dyDescent="0.25">
      <c r="A75">
        <v>1</v>
      </c>
      <c r="B75" t="str">
        <f>LEFT(Table_clallam_Oversight_ActiveFunds[[#This Row],[Agency]],3)</f>
        <v>085</v>
      </c>
      <c r="C75" t="s">
        <v>1008</v>
      </c>
      <c r="D75" t="s">
        <v>1017</v>
      </c>
      <c r="E75" t="str">
        <f>LEFT(Table_clallam_Oversight_ActiveFunds[[#This Row],[Fund]],5)</f>
        <v>06H-6</v>
      </c>
      <c r="G75" t="str">
        <f t="shared" si="6"/>
        <v>341</v>
      </c>
      <c r="H75">
        <v>72</v>
      </c>
      <c r="I75" t="s">
        <v>1018</v>
      </c>
      <c r="J75" t="str">
        <f t="shared" si="5"/>
        <v>341</v>
      </c>
      <c r="K75" t="str">
        <f t="shared" si="7"/>
        <v>065-1</v>
      </c>
      <c r="L75" t="s">
        <v>1019</v>
      </c>
      <c r="M75" s="30"/>
      <c r="N75">
        <v>1</v>
      </c>
      <c r="O75" s="31"/>
      <c r="P75" s="32"/>
      <c r="Q75" s="32"/>
      <c r="R75" s="32"/>
      <c r="S75" s="32"/>
      <c r="T75" s="36"/>
    </row>
    <row r="76" ht="15" customHeight="1" spans="1:20" x14ac:dyDescent="0.25">
      <c r="A76">
        <v>1</v>
      </c>
      <c r="B76" t="str">
        <f>LEFT(Table_clallam_Oversight_ActiveFunds[[#This Row],[Agency]],3)</f>
        <v>085</v>
      </c>
      <c r="C76" t="s">
        <v>1008</v>
      </c>
      <c r="D76" t="s">
        <v>1020</v>
      </c>
      <c r="E76" t="str">
        <f>LEFT(Table_clallam_Oversight_ActiveFunds[[#This Row],[Fund]],5)</f>
        <v>12M-1</v>
      </c>
      <c r="G76" t="str">
        <f t="shared" si="6"/>
        <v>350</v>
      </c>
      <c r="H76">
        <v>73</v>
      </c>
      <c r="I76" t="s">
        <v>1021</v>
      </c>
      <c r="J76" t="str">
        <f t="shared" si="5"/>
        <v>350</v>
      </c>
      <c r="K76" t="str">
        <f t="shared" si="7"/>
        <v>066-1</v>
      </c>
      <c r="L76" t="s">
        <v>1022</v>
      </c>
      <c r="M76" s="30"/>
      <c r="N76">
        <v>1</v>
      </c>
      <c r="O76" s="34"/>
      <c r="P76" s="35"/>
      <c r="Q76" s="35"/>
      <c r="R76" s="35"/>
      <c r="S76" s="35"/>
      <c r="T76" s="33"/>
    </row>
    <row r="77" ht="15" customHeight="1" spans="1:20" x14ac:dyDescent="0.25">
      <c r="A77">
        <v>1</v>
      </c>
      <c r="B77" t="str">
        <f>LEFT(Table_clallam_Oversight_ActiveFunds[[#This Row],[Agency]],3)</f>
        <v>085</v>
      </c>
      <c r="C77" t="s">
        <v>1008</v>
      </c>
      <c r="D77" t="s">
        <v>1023</v>
      </c>
      <c r="E77" t="str">
        <f>LEFT(Table_clallam_Oversight_ActiveFunds[[#This Row],[Fund]],5)</f>
        <v>14E-1</v>
      </c>
      <c r="G77" t="str">
        <f t="shared" si="6"/>
        <v>351</v>
      </c>
      <c r="H77">
        <v>74</v>
      </c>
      <c r="I77" t="s">
        <v>1024</v>
      </c>
      <c r="J77" t="str">
        <f t="shared" si="5"/>
        <v>351</v>
      </c>
      <c r="K77" t="str">
        <f t="shared" si="7"/>
        <v>06A-1</v>
      </c>
      <c r="L77" t="s">
        <v>1025</v>
      </c>
      <c r="M77" s="30"/>
      <c r="N77">
        <v>1</v>
      </c>
      <c r="O77" s="39"/>
      <c r="P77" s="40"/>
      <c r="Q77" s="40"/>
      <c r="R77" s="40"/>
      <c r="S77" s="40"/>
      <c r="T77" s="41"/>
    </row>
    <row r="78" ht="15" customHeight="1" spans="1:20" x14ac:dyDescent="0.25">
      <c r="A78">
        <v>1</v>
      </c>
      <c r="B78" t="str">
        <f>LEFT(Table_clallam_Oversight_ActiveFunds[[#This Row],[Agency]],3)</f>
        <v>085</v>
      </c>
      <c r="C78" t="s">
        <v>1008</v>
      </c>
      <c r="D78" t="s">
        <v>1026</v>
      </c>
      <c r="E78" t="str">
        <f>LEFT(Table_clallam_Oversight_ActiveFunds[[#This Row],[Fund]],5)</f>
        <v>14E-6</v>
      </c>
      <c r="G78" t="str">
        <f t="shared" si="6"/>
        <v>353</v>
      </c>
      <c r="H78">
        <v>75</v>
      </c>
      <c r="I78" t="s">
        <v>1027</v>
      </c>
      <c r="J78" t="str">
        <f t="shared" si="5"/>
        <v>353</v>
      </c>
      <c r="K78" t="str">
        <f t="shared" si="7"/>
        <v>06G-1</v>
      </c>
      <c r="L78" t="s">
        <v>1028</v>
      </c>
      <c r="M78" s="30"/>
      <c r="N78">
        <v>1</v>
      </c>
      <c r="O78" s="34"/>
      <c r="P78" s="35"/>
      <c r="Q78" s="35"/>
      <c r="R78" s="35"/>
      <c r="S78" s="40"/>
      <c r="T78" s="33"/>
    </row>
    <row r="79" ht="15" customHeight="1" spans="1:13" x14ac:dyDescent="0.25">
      <c r="A79">
        <v>1</v>
      </c>
      <c r="B79" t="str">
        <f>LEFT(Table_clallam_Oversight_ActiveFunds[[#This Row],[Agency]],3)</f>
        <v>085</v>
      </c>
      <c r="C79" t="s">
        <v>1008</v>
      </c>
      <c r="D79" t="s">
        <v>1029</v>
      </c>
      <c r="E79" t="str">
        <f>LEFT(Table_clallam_Oversight_ActiveFunds[[#This Row],[Fund]],5)</f>
        <v>407-6</v>
      </c>
      <c r="G79" t="str">
        <f t="shared" si="6"/>
        <v>354</v>
      </c>
      <c r="H79">
        <v>76</v>
      </c>
      <c r="I79" t="s">
        <v>441</v>
      </c>
      <c r="J79" t="str">
        <f t="shared" si="5"/>
        <v>354</v>
      </c>
      <c r="K79" t="str">
        <f t="shared" si="7"/>
        <v>06H-6</v>
      </c>
      <c r="L79" t="s">
        <v>1017</v>
      </c>
      <c r="M79" s="30"/>
    </row>
    <row r="80" ht="15" customHeight="1" spans="1:13" x14ac:dyDescent="0.25">
      <c r="A80">
        <v>1</v>
      </c>
      <c r="B80" t="str">
        <f>LEFT(Table_clallam_Oversight_ActiveFunds[[#This Row],[Agency]],3)</f>
        <v>085</v>
      </c>
      <c r="C80" t="s">
        <v>1008</v>
      </c>
      <c r="D80" t="s">
        <v>1030</v>
      </c>
      <c r="E80" t="str">
        <f>LEFT(Table_clallam_Oversight_ActiveFunds[[#This Row],[Fund]],5)</f>
        <v>415-1</v>
      </c>
      <c r="G80" t="str">
        <f t="shared" si="6"/>
        <v>355</v>
      </c>
      <c r="H80">
        <v>77</v>
      </c>
      <c r="I80" t="s">
        <v>446</v>
      </c>
      <c r="J80" t="str">
        <f t="shared" si="5"/>
        <v>355</v>
      </c>
      <c r="K80" t="str">
        <f t="shared" si="7"/>
        <v>06J-6</v>
      </c>
      <c r="L80" t="s">
        <v>1031</v>
      </c>
      <c r="M80" s="30"/>
    </row>
    <row r="81" ht="15" customHeight="1" spans="1:13" x14ac:dyDescent="0.25">
      <c r="A81">
        <v>1</v>
      </c>
      <c r="B81" t="str">
        <f>LEFT(Table_clallam_Oversight_ActiveFunds[[#This Row],[Agency]],3)</f>
        <v>085</v>
      </c>
      <c r="C81" t="s">
        <v>1008</v>
      </c>
      <c r="D81" t="s">
        <v>961</v>
      </c>
      <c r="E81" t="str">
        <f>LEFT(Table_clallam_Oversight_ActiveFunds[[#This Row],[Fund]],5)</f>
        <v>441-1</v>
      </c>
      <c r="G81" t="str">
        <f t="shared" si="6"/>
        <v>359</v>
      </c>
      <c r="H81">
        <v>78</v>
      </c>
      <c r="I81" t="s">
        <v>1032</v>
      </c>
      <c r="J81" t="str">
        <f t="shared" si="5"/>
        <v>359</v>
      </c>
      <c r="K81" t="str">
        <f t="shared" si="7"/>
        <v>06K-1</v>
      </c>
      <c r="L81" t="s">
        <v>146</v>
      </c>
      <c r="M81" s="30"/>
    </row>
    <row r="82" ht="15" customHeight="1" spans="1:13" x14ac:dyDescent="0.25">
      <c r="A82">
        <v>1</v>
      </c>
      <c r="B82" t="str">
        <f>LEFT(Table_clallam_Oversight_ActiveFunds[[#This Row],[Agency]],3)</f>
        <v>085</v>
      </c>
      <c r="C82" t="s">
        <v>1008</v>
      </c>
      <c r="D82" t="s">
        <v>1033</v>
      </c>
      <c r="E82" t="str">
        <f>LEFT(Table_clallam_Oversight_ActiveFunds[[#This Row],[Fund]],5)</f>
        <v>470-6</v>
      </c>
      <c r="G82" t="str">
        <f t="shared" si="6"/>
        <v>360</v>
      </c>
      <c r="H82">
        <v>79</v>
      </c>
      <c r="I82" t="s">
        <v>1034</v>
      </c>
      <c r="J82" t="str">
        <f t="shared" si="5"/>
        <v>360</v>
      </c>
      <c r="K82" t="str">
        <f t="shared" si="7"/>
        <v>06L-1</v>
      </c>
      <c r="L82" t="s">
        <v>1035</v>
      </c>
      <c r="M82" s="30"/>
    </row>
    <row r="83" ht="15" customHeight="1" spans="1:13" x14ac:dyDescent="0.25">
      <c r="A83">
        <v>1</v>
      </c>
      <c r="B83" t="str">
        <f>LEFT(Table_clallam_Oversight_ActiveFunds[[#This Row],[Agency]],3)</f>
        <v>085</v>
      </c>
      <c r="C83" t="s">
        <v>1008</v>
      </c>
      <c r="D83" t="s">
        <v>1036</v>
      </c>
      <c r="E83" t="str">
        <f>LEFT(Table_clallam_Oversight_ActiveFunds[[#This Row],[Fund]],5)</f>
        <v>549-2</v>
      </c>
      <c r="G83" t="str">
        <f t="shared" si="6"/>
        <v>365</v>
      </c>
      <c r="H83">
        <v>80</v>
      </c>
      <c r="I83" t="s">
        <v>1037</v>
      </c>
      <c r="J83" t="str">
        <f t="shared" si="5"/>
        <v>365</v>
      </c>
      <c r="K83" t="str">
        <f t="shared" si="7"/>
        <v>06R-1</v>
      </c>
      <c r="L83" t="s">
        <v>1038</v>
      </c>
      <c r="M83" s="30"/>
    </row>
    <row r="84" ht="15" customHeight="1" spans="1:13" x14ac:dyDescent="0.25">
      <c r="A84">
        <v>1</v>
      </c>
      <c r="B84" t="str">
        <f>LEFT(Table_clallam_Oversight_ActiveFunds[[#This Row],[Agency]],3)</f>
        <v>085</v>
      </c>
      <c r="C84" t="s">
        <v>1008</v>
      </c>
      <c r="D84" t="s">
        <v>971</v>
      </c>
      <c r="E84" t="str">
        <f>LEFT(Table_clallam_Oversight_ActiveFunds[[#This Row],[Fund]],5)</f>
        <v>706-2</v>
      </c>
      <c r="G84" t="str">
        <f t="shared" si="6"/>
        <v>370</v>
      </c>
      <c r="H84">
        <v>81</v>
      </c>
      <c r="I84" t="s">
        <v>1039</v>
      </c>
      <c r="J84" t="str">
        <f t="shared" si="5"/>
        <v>370</v>
      </c>
      <c r="K84" t="str">
        <f t="shared" si="7"/>
        <v>06T-1</v>
      </c>
      <c r="L84" t="s">
        <v>1040</v>
      </c>
      <c r="M84" s="30"/>
    </row>
    <row r="85" ht="15" customHeight="1" spans="1:13" x14ac:dyDescent="0.25">
      <c r="A85">
        <v>1</v>
      </c>
      <c r="B85" t="str">
        <f>LEFT(Table_clallam_Oversight_ActiveFunds[[#This Row],[Agency]],3)</f>
        <v>086</v>
      </c>
      <c r="C85" t="s">
        <v>1041</v>
      </c>
      <c r="D85" t="s">
        <v>28</v>
      </c>
      <c r="E85" t="str">
        <f>LEFT(Table_clallam_Oversight_ActiveFunds[[#This Row],[Fund]],5)</f>
        <v>001-1</v>
      </c>
      <c r="G85" t="str">
        <f t="shared" si="6"/>
        <v>375</v>
      </c>
      <c r="H85">
        <v>82</v>
      </c>
      <c r="I85" t="s">
        <v>1042</v>
      </c>
      <c r="J85" t="str">
        <f t="shared" si="5"/>
        <v>375</v>
      </c>
      <c r="K85" t="str">
        <f t="shared" si="7"/>
        <v>071-1</v>
      </c>
      <c r="L85" t="s">
        <v>1043</v>
      </c>
      <c r="M85" s="30"/>
    </row>
    <row r="86" ht="15" customHeight="1" spans="1:13" x14ac:dyDescent="0.25">
      <c r="A86">
        <v>1</v>
      </c>
      <c r="B86" t="str">
        <f>LEFT(Table_clallam_Oversight_ActiveFunds[[#This Row],[Agency]],3)</f>
        <v>087</v>
      </c>
      <c r="C86" t="s">
        <v>1044</v>
      </c>
      <c r="D86" t="s">
        <v>28</v>
      </c>
      <c r="E86" t="str">
        <f>LEFT(Table_clallam_Oversight_ActiveFunds[[#This Row],[Fund]],5)</f>
        <v>001-1</v>
      </c>
      <c r="G86" t="str">
        <f t="shared" si="6"/>
        <v>376</v>
      </c>
      <c r="H86">
        <v>83</v>
      </c>
      <c r="I86" t="s">
        <v>1045</v>
      </c>
      <c r="J86" t="str">
        <f t="shared" si="5"/>
        <v>376</v>
      </c>
      <c r="K86" t="str">
        <f t="shared" si="7"/>
        <v>072-1</v>
      </c>
      <c r="L86" t="s">
        <v>1046</v>
      </c>
      <c r="M86" s="30"/>
    </row>
    <row r="87" ht="15" customHeight="1" spans="1:13" x14ac:dyDescent="0.25">
      <c r="A87">
        <v>1</v>
      </c>
      <c r="B87" t="str">
        <f>LEFT(Table_clallam_Oversight_ActiveFunds[[#This Row],[Agency]],3)</f>
        <v>090</v>
      </c>
      <c r="C87" t="s">
        <v>1047</v>
      </c>
      <c r="D87" t="s">
        <v>28</v>
      </c>
      <c r="E87" t="str">
        <f>LEFT(Table_clallam_Oversight_ActiveFunds[[#This Row],[Fund]],5)</f>
        <v>001-1</v>
      </c>
      <c r="G87" t="str">
        <f t="shared" si="6"/>
        <v>380</v>
      </c>
      <c r="H87">
        <v>84</v>
      </c>
      <c r="I87" t="s">
        <v>1048</v>
      </c>
      <c r="J87" t="str">
        <f t="shared" si="5"/>
        <v>380</v>
      </c>
      <c r="K87" t="str">
        <f t="shared" si="7"/>
        <v>07A-6</v>
      </c>
      <c r="L87" t="s">
        <v>1049</v>
      </c>
      <c r="M87" s="30"/>
    </row>
    <row r="88" ht="15" customHeight="1" spans="1:13" x14ac:dyDescent="0.25">
      <c r="A88">
        <v>1</v>
      </c>
      <c r="B88" t="str">
        <f>LEFT(Table_clallam_Oversight_ActiveFunds[[#This Row],[Agency]],3)</f>
        <v>090</v>
      </c>
      <c r="C88" t="s">
        <v>1047</v>
      </c>
      <c r="D88" t="s">
        <v>1050</v>
      </c>
      <c r="E88" t="str">
        <f>LEFT(Table_clallam_Oversight_ActiveFunds[[#This Row],[Fund]],5)</f>
        <v>404-1</v>
      </c>
      <c r="G88" t="str">
        <f t="shared" si="6"/>
        <v>387</v>
      </c>
      <c r="H88">
        <v>85</v>
      </c>
      <c r="I88" t="s">
        <v>1051</v>
      </c>
      <c r="J88" t="str">
        <f t="shared" si="5"/>
        <v>387</v>
      </c>
      <c r="K88" t="str">
        <f t="shared" si="7"/>
        <v>07E-1</v>
      </c>
      <c r="L88" t="s">
        <v>1052</v>
      </c>
      <c r="M88" s="30"/>
    </row>
    <row r="89" ht="15" customHeight="1" spans="1:13" x14ac:dyDescent="0.25">
      <c r="A89">
        <v>1</v>
      </c>
      <c r="B89" t="str">
        <f>LEFT(Table_clallam_Oversight_ActiveFunds[[#This Row],[Agency]],3)</f>
        <v>091</v>
      </c>
      <c r="C89" t="s">
        <v>1053</v>
      </c>
      <c r="D89" t="s">
        <v>28</v>
      </c>
      <c r="E89" t="str">
        <f>LEFT(Table_clallam_Oversight_ActiveFunds[[#This Row],[Fund]],5)</f>
        <v>001-1</v>
      </c>
      <c r="G89" t="str">
        <f t="shared" si="6"/>
        <v>390</v>
      </c>
      <c r="H89">
        <v>86</v>
      </c>
      <c r="I89" t="s">
        <v>468</v>
      </c>
      <c r="J89" t="str">
        <f t="shared" si="5"/>
        <v>390</v>
      </c>
      <c r="K89" t="str">
        <f t="shared" si="7"/>
        <v>07E-6</v>
      </c>
      <c r="L89" t="s">
        <v>1054</v>
      </c>
      <c r="M89" s="30"/>
    </row>
    <row r="90" ht="15" customHeight="1" spans="1:13" x14ac:dyDescent="0.25">
      <c r="A90">
        <v>1</v>
      </c>
      <c r="B90" t="str">
        <f>LEFT(Table_clallam_Oversight_ActiveFunds[[#This Row],[Agency]],3)</f>
        <v>095</v>
      </c>
      <c r="C90" t="s">
        <v>1055</v>
      </c>
      <c r="D90" t="s">
        <v>28</v>
      </c>
      <c r="E90" t="str">
        <f>LEFT(Table_clallam_Oversight_ActiveFunds[[#This Row],[Fund]],5)</f>
        <v>001-1</v>
      </c>
      <c r="G90" t="str">
        <f t="shared" si="6"/>
        <v>395</v>
      </c>
      <c r="H90">
        <v>87</v>
      </c>
      <c r="I90" t="s">
        <v>1056</v>
      </c>
      <c r="J90" t="str">
        <f t="shared" si="5"/>
        <v>395</v>
      </c>
      <c r="K90" t="str">
        <f t="shared" si="7"/>
        <v>07L-6</v>
      </c>
      <c r="L90" t="s">
        <v>990</v>
      </c>
      <c r="M90" s="30"/>
    </row>
    <row r="91" ht="15" customHeight="1" spans="1:13" x14ac:dyDescent="0.25">
      <c r="A91">
        <v>1</v>
      </c>
      <c r="B91" t="str">
        <f>LEFT(Table_clallam_Oversight_ActiveFunds[[#This Row],[Agency]],3)</f>
        <v>095</v>
      </c>
      <c r="C91" t="s">
        <v>1055</v>
      </c>
      <c r="D91" t="s">
        <v>1057</v>
      </c>
      <c r="E91" t="str">
        <f>LEFT(Table_clallam_Oversight_ActiveFunds[[#This Row],[Fund]],5)</f>
        <v>413-6</v>
      </c>
      <c r="G91" t="str">
        <f t="shared" si="6"/>
        <v>405</v>
      </c>
      <c r="H91">
        <v>88</v>
      </c>
      <c r="I91" t="s">
        <v>1058</v>
      </c>
      <c r="J91" t="str">
        <f t="shared" si="5"/>
        <v>405</v>
      </c>
      <c r="K91" t="str">
        <f t="shared" si="7"/>
        <v>07V-6</v>
      </c>
      <c r="L91" t="s">
        <v>1059</v>
      </c>
      <c r="M91" s="30"/>
    </row>
    <row r="92" ht="15" customHeight="1" spans="1:13" x14ac:dyDescent="0.25">
      <c r="A92">
        <v>1</v>
      </c>
      <c r="B92" t="str">
        <f>LEFT(Table_clallam_Oversight_ActiveFunds[[#This Row],[Agency]],3)</f>
        <v>095</v>
      </c>
      <c r="C92" t="s">
        <v>1055</v>
      </c>
      <c r="D92" t="s">
        <v>1060</v>
      </c>
      <c r="E92" t="str">
        <f>LEFT(Table_clallam_Oversight_ActiveFunds[[#This Row],[Fund]],5)</f>
        <v>483-1</v>
      </c>
      <c r="G92" t="str">
        <f t="shared" si="6"/>
        <v>406</v>
      </c>
      <c r="H92">
        <v>89</v>
      </c>
      <c r="I92" t="s">
        <v>1061</v>
      </c>
      <c r="J92" t="str">
        <f t="shared" si="5"/>
        <v>406</v>
      </c>
      <c r="K92" t="str">
        <f t="shared" si="7"/>
        <v>07W-1</v>
      </c>
      <c r="L92" t="s">
        <v>1062</v>
      </c>
      <c r="M92" s="30"/>
    </row>
    <row r="93" ht="15" customHeight="1" spans="1:13" x14ac:dyDescent="0.25">
      <c r="A93">
        <v>1</v>
      </c>
      <c r="B93" t="str">
        <f>LEFT(Table_clallam_Oversight_ActiveFunds[[#This Row],[Agency]],3)</f>
        <v>095</v>
      </c>
      <c r="C93" t="s">
        <v>1055</v>
      </c>
      <c r="D93" t="s">
        <v>735</v>
      </c>
      <c r="E93" t="str">
        <f>LEFT(Table_clallam_Oversight_ActiveFunds[[#This Row],[Fund]],5)</f>
        <v>553-1</v>
      </c>
      <c r="G93" t="str">
        <f t="shared" si="6"/>
        <v>407</v>
      </c>
      <c r="H93">
        <v>90</v>
      </c>
      <c r="I93" t="s">
        <v>1063</v>
      </c>
      <c r="J93" t="str">
        <f t="shared" si="5"/>
        <v>407</v>
      </c>
      <c r="K93" t="str">
        <f t="shared" si="7"/>
        <v>080-1</v>
      </c>
      <c r="L93" t="s">
        <v>1064</v>
      </c>
      <c r="M93" s="30"/>
    </row>
    <row r="94" ht="15" customHeight="1" spans="1:13" x14ac:dyDescent="0.25">
      <c r="A94">
        <v>1</v>
      </c>
      <c r="B94" t="str">
        <f>LEFT(Table_clallam_Oversight_ActiveFunds[[#This Row],[Agency]],3)</f>
        <v>095</v>
      </c>
      <c r="C94" t="s">
        <v>1055</v>
      </c>
      <c r="D94" t="s">
        <v>1065</v>
      </c>
      <c r="E94" t="str">
        <f>LEFT(Table_clallam_Oversight_ActiveFunds[[#This Row],[Fund]],5)</f>
        <v>553-6</v>
      </c>
      <c r="G94" t="str">
        <f t="shared" si="6"/>
        <v>410</v>
      </c>
      <c r="H94">
        <v>91</v>
      </c>
      <c r="I94" t="s">
        <v>1066</v>
      </c>
      <c r="J94" t="str">
        <f t="shared" si="5"/>
        <v>410</v>
      </c>
      <c r="K94" t="str">
        <f t="shared" si="7"/>
        <v>081-1</v>
      </c>
      <c r="L94" t="s">
        <v>904</v>
      </c>
      <c r="M94" s="30"/>
    </row>
    <row r="95" ht="15" customHeight="1" spans="1:13" x14ac:dyDescent="0.25">
      <c r="A95">
        <v>1</v>
      </c>
      <c r="B95" t="str">
        <f>LEFT(Table_clallam_Oversight_ActiveFunds[[#This Row],[Agency]],3)</f>
        <v>099</v>
      </c>
      <c r="C95" t="s">
        <v>1067</v>
      </c>
      <c r="D95" t="s">
        <v>28</v>
      </c>
      <c r="E95" t="str">
        <f>LEFT(Table_clallam_Oversight_ActiveFunds[[#This Row],[Fund]],5)</f>
        <v>001-1</v>
      </c>
      <c r="G95" t="str">
        <f t="shared" si="6"/>
        <v>411</v>
      </c>
      <c r="H95">
        <v>92</v>
      </c>
      <c r="I95" t="s">
        <v>1068</v>
      </c>
      <c r="J95" t="str">
        <f t="shared" si="5"/>
        <v>411</v>
      </c>
      <c r="K95" t="str">
        <f t="shared" si="7"/>
        <v>081-2</v>
      </c>
      <c r="L95" t="s">
        <v>1069</v>
      </c>
      <c r="M95" s="30"/>
    </row>
    <row r="96" ht="15" customHeight="1" spans="1:13" x14ac:dyDescent="0.25">
      <c r="A96">
        <v>1</v>
      </c>
      <c r="B96" t="str">
        <f>LEFT(Table_clallam_Oversight_ActiveFunds[[#This Row],[Agency]],3)</f>
        <v>100</v>
      </c>
      <c r="C96" t="s">
        <v>1070</v>
      </c>
      <c r="D96" t="s">
        <v>28</v>
      </c>
      <c r="E96" t="str">
        <f>LEFT(Table_clallam_Oversight_ActiveFunds[[#This Row],[Fund]],5)</f>
        <v>001-1</v>
      </c>
      <c r="G96" t="str">
        <f t="shared" si="6"/>
        <v>460</v>
      </c>
      <c r="H96">
        <v>93</v>
      </c>
      <c r="I96" t="s">
        <v>1071</v>
      </c>
      <c r="J96" t="str">
        <f t="shared" si="5"/>
        <v>460</v>
      </c>
      <c r="K96" t="str">
        <f t="shared" si="7"/>
        <v>081-7</v>
      </c>
      <c r="L96" t="s">
        <v>1072</v>
      </c>
      <c r="M96" s="30"/>
    </row>
    <row r="97" ht="15" customHeight="1" spans="1:13" x14ac:dyDescent="0.25">
      <c r="A97">
        <v>1</v>
      </c>
      <c r="B97" t="str">
        <f>LEFT(Table_clallam_Oversight_ActiveFunds[[#This Row],[Agency]],3)</f>
        <v>100</v>
      </c>
      <c r="C97" t="s">
        <v>1070</v>
      </c>
      <c r="D97" t="s">
        <v>144</v>
      </c>
      <c r="E97" t="str">
        <f>LEFT(Table_clallam_Oversight_ActiveFunds[[#This Row],[Fund]],5)</f>
        <v>001-2</v>
      </c>
      <c r="G97" t="str">
        <f t="shared" si="6"/>
        <v>461</v>
      </c>
      <c r="H97">
        <v>94</v>
      </c>
      <c r="I97" t="s">
        <v>1073</v>
      </c>
      <c r="J97" t="str">
        <f t="shared" si="5"/>
        <v>461</v>
      </c>
      <c r="K97" t="str">
        <f t="shared" si="7"/>
        <v>082-1</v>
      </c>
      <c r="L97" t="s">
        <v>1074</v>
      </c>
      <c r="M97" s="30"/>
    </row>
    <row r="98" ht="15" customHeight="1" spans="1:13" x14ac:dyDescent="0.25">
      <c r="A98">
        <v>1</v>
      </c>
      <c r="B98" t="str">
        <f>LEFT(Table_clallam_Oversight_ActiveFunds[[#This Row],[Agency]],3)</f>
        <v>100</v>
      </c>
      <c r="C98" t="s">
        <v>1070</v>
      </c>
      <c r="D98" t="s">
        <v>753</v>
      </c>
      <c r="E98" t="str">
        <f>LEFT(Table_clallam_Oversight_ActiveFunds[[#This Row],[Fund]],5)</f>
        <v>001-Y</v>
      </c>
      <c r="G98" t="str">
        <f t="shared" si="6"/>
        <v>462</v>
      </c>
      <c r="H98">
        <v>95</v>
      </c>
      <c r="I98" t="s">
        <v>574</v>
      </c>
      <c r="J98" t="str">
        <f t="shared" si="5"/>
        <v>462</v>
      </c>
      <c r="K98" t="str">
        <f t="shared" si="7"/>
        <v>084-1</v>
      </c>
      <c r="L98" t="s">
        <v>1075</v>
      </c>
      <c r="M98" s="30"/>
    </row>
    <row r="99" ht="15" customHeight="1" spans="1:13" x14ac:dyDescent="0.25">
      <c r="A99">
        <v>1</v>
      </c>
      <c r="B99" t="str">
        <f>LEFT(Table_clallam_Oversight_ActiveFunds[[#This Row],[Agency]],3)</f>
        <v>100</v>
      </c>
      <c r="C99" t="s">
        <v>1070</v>
      </c>
      <c r="D99" t="s">
        <v>1076</v>
      </c>
      <c r="E99" t="str">
        <f>LEFT(Table_clallam_Oversight_ActiveFunds[[#This Row],[Fund]],5)</f>
        <v>111-1</v>
      </c>
      <c r="G99" t="str">
        <f t="shared" si="6"/>
        <v>463</v>
      </c>
      <c r="H99">
        <v>96</v>
      </c>
      <c r="I99" t="s">
        <v>1077</v>
      </c>
      <c r="J99" t="str">
        <f t="shared" si="5"/>
        <v>463</v>
      </c>
      <c r="K99" t="str">
        <f t="shared" si="7"/>
        <v>086-1</v>
      </c>
      <c r="L99" t="s">
        <v>1078</v>
      </c>
      <c r="M99" s="30"/>
    </row>
    <row r="100" ht="15" customHeight="1" spans="1:13" x14ac:dyDescent="0.25">
      <c r="A100">
        <v>1</v>
      </c>
      <c r="B100" t="str">
        <f>LEFT(Table_clallam_Oversight_ActiveFunds[[#This Row],[Agency]],3)</f>
        <v>100</v>
      </c>
      <c r="C100" t="s">
        <v>1070</v>
      </c>
      <c r="D100" t="s">
        <v>1079</v>
      </c>
      <c r="E100" t="str">
        <f>LEFT(Table_clallam_Oversight_ActiveFunds[[#This Row],[Fund]],5)</f>
        <v>12F-6</v>
      </c>
      <c r="G100" t="str">
        <f t="shared" si="6"/>
        <v>465</v>
      </c>
      <c r="H100">
        <v>97</v>
      </c>
      <c r="I100" t="s">
        <v>1080</v>
      </c>
      <c r="J100" t="str">
        <f t="shared" ref="J100:J112" si="8">LEFT(I100,3)</f>
        <v>465</v>
      </c>
      <c r="K100" t="str">
        <f t="shared" si="7"/>
        <v>087-6</v>
      </c>
      <c r="L100" t="s">
        <v>1081</v>
      </c>
      <c r="M100" s="30"/>
    </row>
    <row r="101" ht="15" customHeight="1" spans="1:13" x14ac:dyDescent="0.25">
      <c r="A101">
        <v>1</v>
      </c>
      <c r="B101" t="str">
        <f>LEFT(Table_clallam_Oversight_ActiveFunds[[#This Row],[Agency]],3)</f>
        <v>100</v>
      </c>
      <c r="C101" t="s">
        <v>1070</v>
      </c>
      <c r="D101" t="s">
        <v>1082</v>
      </c>
      <c r="E101" t="str">
        <f>LEFT(Table_clallam_Oversight_ActiveFunds[[#This Row],[Fund]],5)</f>
        <v>141-6</v>
      </c>
      <c r="G101" t="str">
        <f t="shared" si="6"/>
        <v>467</v>
      </c>
      <c r="H101">
        <v>98</v>
      </c>
      <c r="I101" t="s">
        <v>1083</v>
      </c>
      <c r="J101" t="str">
        <f t="shared" si="8"/>
        <v>467</v>
      </c>
      <c r="K101" t="str">
        <f t="shared" si="7"/>
        <v>08A-1</v>
      </c>
      <c r="L101" t="s">
        <v>1084</v>
      </c>
      <c r="M101" s="30"/>
    </row>
    <row r="102" ht="15" customHeight="1" spans="1:13" x14ac:dyDescent="0.25">
      <c r="A102">
        <v>1</v>
      </c>
      <c r="B102" t="str">
        <f>LEFT(Table_clallam_Oversight_ActiveFunds[[#This Row],[Agency]],3)</f>
        <v>100</v>
      </c>
      <c r="C102" t="s">
        <v>1070</v>
      </c>
      <c r="D102" t="s">
        <v>1085</v>
      </c>
      <c r="E102" t="str">
        <f>LEFT(Table_clallam_Oversight_ActiveFunds[[#This Row],[Fund]],5)</f>
        <v>154-1</v>
      </c>
      <c r="G102" t="str">
        <f t="shared" si="6"/>
        <v>468</v>
      </c>
      <c r="H102">
        <v>99</v>
      </c>
      <c r="I102" t="s">
        <v>1086</v>
      </c>
      <c r="J102" t="str">
        <f t="shared" si="8"/>
        <v>468</v>
      </c>
      <c r="K102" t="str">
        <f t="shared" si="7"/>
        <v>08G-6</v>
      </c>
      <c r="L102" t="s">
        <v>1087</v>
      </c>
      <c r="M102" s="30"/>
    </row>
    <row r="103" ht="15" customHeight="1" spans="1:13" x14ac:dyDescent="0.25">
      <c r="A103">
        <v>1</v>
      </c>
      <c r="B103" t="str">
        <f>LEFT(Table_clallam_Oversight_ActiveFunds[[#This Row],[Agency]],3)</f>
        <v>100</v>
      </c>
      <c r="C103" t="s">
        <v>1070</v>
      </c>
      <c r="D103" t="s">
        <v>882</v>
      </c>
      <c r="E103" t="str">
        <f>LEFT(Table_clallam_Oversight_ActiveFunds[[#This Row],[Fund]],5)</f>
        <v>17L-6</v>
      </c>
      <c r="G103" t="str">
        <f t="shared" si="6"/>
        <v>471</v>
      </c>
      <c r="H103">
        <v>100</v>
      </c>
      <c r="I103" t="s">
        <v>1088</v>
      </c>
      <c r="J103" t="str">
        <f t="shared" si="8"/>
        <v>471</v>
      </c>
      <c r="K103" t="str">
        <f t="shared" si="7"/>
        <v>08H-1</v>
      </c>
      <c r="L103" t="s">
        <v>1089</v>
      </c>
      <c r="M103" s="30"/>
    </row>
    <row r="104" ht="15" customHeight="1" spans="1:13" x14ac:dyDescent="0.25">
      <c r="A104">
        <v>1</v>
      </c>
      <c r="B104" t="str">
        <f>LEFT(Table_clallam_Oversight_ActiveFunds[[#This Row],[Agency]],3)</f>
        <v>100</v>
      </c>
      <c r="C104" t="s">
        <v>1070</v>
      </c>
      <c r="D104" t="s">
        <v>1090</v>
      </c>
      <c r="E104" t="str">
        <f>LEFT(Table_clallam_Oversight_ActiveFunds[[#This Row],[Fund]],5)</f>
        <v>19A-1</v>
      </c>
      <c r="G104" t="str">
        <f t="shared" si="6"/>
        <v>477</v>
      </c>
      <c r="H104">
        <v>101</v>
      </c>
      <c r="I104" t="s">
        <v>1091</v>
      </c>
      <c r="J104" t="str">
        <f t="shared" si="8"/>
        <v>477</v>
      </c>
      <c r="K104" t="str">
        <f t="shared" si="7"/>
        <v>08J-6</v>
      </c>
      <c r="L104" t="s">
        <v>1092</v>
      </c>
      <c r="M104" s="30"/>
    </row>
    <row r="105" ht="15" customHeight="1" spans="1:13" x14ac:dyDescent="0.25">
      <c r="A105">
        <v>1</v>
      </c>
      <c r="B105" t="str">
        <f>LEFT(Table_clallam_Oversight_ActiveFunds[[#This Row],[Agency]],3)</f>
        <v>100</v>
      </c>
      <c r="C105" t="s">
        <v>1070</v>
      </c>
      <c r="D105" t="s">
        <v>1093</v>
      </c>
      <c r="E105" t="str">
        <f>LEFT(Table_clallam_Oversight_ActiveFunds[[#This Row],[Fund]],5)</f>
        <v>19P-1</v>
      </c>
      <c r="G105" t="str">
        <f t="shared" si="6"/>
        <v>478</v>
      </c>
      <c r="H105">
        <v>102</v>
      </c>
      <c r="I105" t="s">
        <v>1094</v>
      </c>
      <c r="J105" t="str">
        <f t="shared" si="8"/>
        <v>478</v>
      </c>
      <c r="K105" t="str">
        <f t="shared" si="7"/>
        <v>08K-1</v>
      </c>
      <c r="L105" t="s">
        <v>1095</v>
      </c>
      <c r="M105" s="30"/>
    </row>
    <row r="106" ht="15" customHeight="1" spans="1:13" x14ac:dyDescent="0.25">
      <c r="A106">
        <v>1</v>
      </c>
      <c r="B106" t="str">
        <f>LEFT(Table_clallam_Oversight_ActiveFunds[[#This Row],[Agency]],3)</f>
        <v>100</v>
      </c>
      <c r="C106" t="s">
        <v>1070</v>
      </c>
      <c r="D106" t="s">
        <v>1096</v>
      </c>
      <c r="E106" t="str">
        <f>LEFT(Table_clallam_Oversight_ActiveFunds[[#This Row],[Fund]],5)</f>
        <v>25V-6</v>
      </c>
      <c r="G106" t="str">
        <f t="shared" si="6"/>
        <v>490</v>
      </c>
      <c r="H106">
        <v>103</v>
      </c>
      <c r="I106" t="s">
        <v>1097</v>
      </c>
      <c r="J106" t="str">
        <f t="shared" si="8"/>
        <v>490</v>
      </c>
      <c r="K106" t="str">
        <f t="shared" si="7"/>
        <v>08M-1</v>
      </c>
      <c r="L106" t="s">
        <v>1098</v>
      </c>
      <c r="M106" s="30"/>
    </row>
    <row r="107" ht="15" customHeight="1" spans="1:13" x14ac:dyDescent="0.25">
      <c r="A107">
        <v>1</v>
      </c>
      <c r="B107" t="str">
        <f>LEFT(Table_clallam_Oversight_ActiveFunds[[#This Row],[Agency]],3)</f>
        <v>100</v>
      </c>
      <c r="C107" t="s">
        <v>1070</v>
      </c>
      <c r="D107" t="s">
        <v>1099</v>
      </c>
      <c r="E107" t="str">
        <f>LEFT(Table_clallam_Oversight_ActiveFunds[[#This Row],[Fund]],5)</f>
        <v>405-1</v>
      </c>
      <c r="G107" t="str">
        <f t="shared" si="6"/>
        <v>495</v>
      </c>
      <c r="H107">
        <v>104</v>
      </c>
      <c r="I107" t="s">
        <v>1100</v>
      </c>
      <c r="J107" t="str">
        <f t="shared" si="8"/>
        <v>495</v>
      </c>
      <c r="K107" t="str">
        <f t="shared" si="7"/>
        <v>08P-6</v>
      </c>
      <c r="L107" t="s">
        <v>1101</v>
      </c>
      <c r="M107" s="30"/>
    </row>
    <row r="108" ht="15" customHeight="1" spans="1:13" x14ac:dyDescent="0.25">
      <c r="A108">
        <v>1</v>
      </c>
      <c r="B108" t="str">
        <f>LEFT(Table_clallam_Oversight_ActiveFunds[[#This Row],[Agency]],3)</f>
        <v>100</v>
      </c>
      <c r="C108" t="s">
        <v>1070</v>
      </c>
      <c r="D108" t="s">
        <v>1102</v>
      </c>
      <c r="E108" t="str">
        <f>LEFT(Table_clallam_Oversight_ActiveFunds[[#This Row],[Fund]],5)</f>
        <v>424-6</v>
      </c>
      <c r="G108" t="str">
        <f t="shared" si="6"/>
        <v>540</v>
      </c>
      <c r="H108">
        <v>105</v>
      </c>
      <c r="I108" t="s">
        <v>1103</v>
      </c>
      <c r="J108" t="str">
        <f t="shared" si="8"/>
        <v>540</v>
      </c>
      <c r="K108" t="str">
        <f t="shared" si="7"/>
        <v>08R-1</v>
      </c>
      <c r="L108" t="s">
        <v>1104</v>
      </c>
      <c r="M108" s="30"/>
    </row>
    <row r="109" ht="15" customHeight="1" spans="1:13" x14ac:dyDescent="0.25">
      <c r="A109">
        <v>1</v>
      </c>
      <c r="B109" t="str">
        <f>LEFT(Table_clallam_Oversight_ActiveFunds[[#This Row],[Agency]],3)</f>
        <v>100</v>
      </c>
      <c r="C109" t="s">
        <v>1070</v>
      </c>
      <c r="D109" t="s">
        <v>961</v>
      </c>
      <c r="E109" t="str">
        <f>LEFT(Table_clallam_Oversight_ActiveFunds[[#This Row],[Fund]],5)</f>
        <v>441-1</v>
      </c>
      <c r="G109" t="str">
        <f t="shared" si="6"/>
        <v>699</v>
      </c>
      <c r="H109">
        <v>106</v>
      </c>
      <c r="I109" t="s">
        <v>1105</v>
      </c>
      <c r="J109" t="str">
        <f t="shared" si="8"/>
        <v>699</v>
      </c>
      <c r="K109" t="str">
        <f t="shared" si="7"/>
        <v>08V-6</v>
      </c>
      <c r="L109" t="s">
        <v>1106</v>
      </c>
      <c r="M109" s="30"/>
    </row>
    <row r="110" ht="15" customHeight="1" spans="1:13" x14ac:dyDescent="0.25">
      <c r="A110">
        <v>1</v>
      </c>
      <c r="B110" t="str">
        <f>LEFT(Table_clallam_Oversight_ActiveFunds[[#This Row],[Agency]],3)</f>
        <v>100</v>
      </c>
      <c r="C110" t="s">
        <v>1070</v>
      </c>
      <c r="D110" t="s">
        <v>1107</v>
      </c>
      <c r="E110" t="str">
        <f>LEFT(Table_clallam_Oversight_ActiveFunds[[#This Row],[Fund]],5)</f>
        <v>828-1</v>
      </c>
      <c r="G110">
        <f t="shared" si="6"/>
      </c>
      <c r="H110">
        <v>107</v>
      </c>
      <c r="J110">
        <f t="shared" si="8"/>
      </c>
      <c r="K110" t="str">
        <f t="shared" si="7"/>
        <v>094-1</v>
      </c>
      <c r="L110" t="s">
        <v>1108</v>
      </c>
      <c r="M110" s="30"/>
    </row>
    <row r="111" ht="15" customHeight="1" spans="1:13" x14ac:dyDescent="0.25">
      <c r="A111">
        <v>1</v>
      </c>
      <c r="B111" t="str">
        <f>LEFT(Table_clallam_Oversight_ActiveFunds[[#This Row],[Agency]],3)</f>
        <v>101</v>
      </c>
      <c r="C111" t="s">
        <v>1109</v>
      </c>
      <c r="D111" t="s">
        <v>28</v>
      </c>
      <c r="E111" t="str">
        <f>LEFT(Table_clallam_Oversight_ActiveFunds[[#This Row],[Fund]],5)</f>
        <v>001-1</v>
      </c>
      <c r="G111">
        <f t="shared" si="6"/>
      </c>
      <c r="H111">
        <v>108</v>
      </c>
      <c r="J111">
        <f t="shared" si="8"/>
      </c>
      <c r="K111" t="str">
        <f t="shared" si="7"/>
        <v>095-1</v>
      </c>
      <c r="L111" t="s">
        <v>1110</v>
      </c>
      <c r="M111" s="30"/>
    </row>
    <row r="112" ht="15" customHeight="1" spans="1:13" x14ac:dyDescent="0.25">
      <c r="A112">
        <v>1</v>
      </c>
      <c r="B112" t="str">
        <f>LEFT(Table_clallam_Oversight_ActiveFunds[[#This Row],[Agency]],3)</f>
        <v>101</v>
      </c>
      <c r="C112" t="s">
        <v>1109</v>
      </c>
      <c r="D112" t="s">
        <v>442</v>
      </c>
      <c r="E112" t="str">
        <f>LEFT(Table_clallam_Oversight_ActiveFunds[[#This Row],[Fund]],5)</f>
        <v>24J-1</v>
      </c>
      <c r="G112">
        <f t="shared" si="6"/>
      </c>
      <c r="H112">
        <v>109</v>
      </c>
      <c r="J112">
        <f t="shared" si="8"/>
      </c>
      <c r="K112" t="str">
        <f t="shared" si="7"/>
        <v>096-1</v>
      </c>
      <c r="L112" t="s">
        <v>1111</v>
      </c>
      <c r="M112" s="30"/>
    </row>
    <row r="113" ht="15" customHeight="1" spans="1:13" x14ac:dyDescent="0.25">
      <c r="A113">
        <v>1</v>
      </c>
      <c r="B113" t="str">
        <f>LEFT(Table_clallam_Oversight_ActiveFunds[[#This Row],[Agency]],3)</f>
        <v>102</v>
      </c>
      <c r="C113" t="s">
        <v>1112</v>
      </c>
      <c r="D113" t="s">
        <v>1031</v>
      </c>
      <c r="E113" t="str">
        <f>LEFT(Table_clallam_Oversight_ActiveFunds[[#This Row],[Fund]],5)</f>
        <v>06J-6</v>
      </c>
      <c r="G113">
        <f t="shared" si="6"/>
      </c>
      <c r="H113">
        <v>110</v>
      </c>
      <c r="K113" t="str">
        <f t="shared" si="7"/>
        <v>096-2</v>
      </c>
      <c r="L113" t="s">
        <v>1113</v>
      </c>
      <c r="M113" s="30"/>
    </row>
    <row r="114" ht="15" customHeight="1" spans="1:13" x14ac:dyDescent="0.25">
      <c r="A114">
        <v>1</v>
      </c>
      <c r="B114" t="str">
        <f>LEFT(Table_clallam_Oversight_ActiveFunds[[#This Row],[Agency]],3)</f>
        <v>102</v>
      </c>
      <c r="C114" t="s">
        <v>1112</v>
      </c>
      <c r="D114" t="s">
        <v>1049</v>
      </c>
      <c r="E114" t="str">
        <f>LEFT(Table_clallam_Oversight_ActiveFunds[[#This Row],[Fund]],5)</f>
        <v>07A-6</v>
      </c>
      <c r="G114">
        <f t="shared" si="6"/>
      </c>
      <c r="K114" t="str">
        <f t="shared" si="7"/>
        <v>097-1</v>
      </c>
      <c r="L114" t="s">
        <v>1114</v>
      </c>
      <c r="M114" s="30"/>
    </row>
    <row r="115" ht="15" customHeight="1" spans="1:13" x14ac:dyDescent="0.25">
      <c r="A115">
        <v>1</v>
      </c>
      <c r="B115" t="str">
        <f>LEFT(Table_clallam_Oversight_ActiveFunds[[#This Row],[Agency]],3)</f>
        <v>102</v>
      </c>
      <c r="C115" t="s">
        <v>1112</v>
      </c>
      <c r="D115" t="s">
        <v>1115</v>
      </c>
      <c r="E115" t="str">
        <f>LEFT(Table_clallam_Oversight_ActiveFunds[[#This Row],[Fund]],5)</f>
        <v>300-6</v>
      </c>
      <c r="G115">
        <f t="shared" si="6"/>
      </c>
      <c r="K115" t="str">
        <f t="shared" si="7"/>
        <v>098-1</v>
      </c>
      <c r="L115" t="s">
        <v>1116</v>
      </c>
      <c r="M115" s="30"/>
    </row>
    <row r="116" ht="15" customHeight="1" spans="1:13" x14ac:dyDescent="0.25">
      <c r="A116">
        <v>1</v>
      </c>
      <c r="B116" t="str">
        <f>LEFT(Table_clallam_Oversight_ActiveFunds[[#This Row],[Agency]],3)</f>
        <v>103</v>
      </c>
      <c r="C116" t="s">
        <v>1117</v>
      </c>
      <c r="D116" t="s">
        <v>28</v>
      </c>
      <c r="E116" t="str">
        <f>LEFT(Table_clallam_Oversight_ActiveFunds[[#This Row],[Fund]],5)</f>
        <v>001-1</v>
      </c>
      <c r="G116">
        <f t="shared" si="6"/>
      </c>
      <c r="K116" t="str">
        <f t="shared" si="7"/>
        <v>099-1</v>
      </c>
      <c r="L116" t="s">
        <v>741</v>
      </c>
      <c r="M116" s="30"/>
    </row>
    <row r="117" ht="15" customHeight="1" spans="1:13" x14ac:dyDescent="0.25">
      <c r="A117">
        <v>1</v>
      </c>
      <c r="B117" t="str">
        <f>LEFT(Table_clallam_Oversight_ActiveFunds[[#This Row],[Agency]],3)</f>
        <v>103</v>
      </c>
      <c r="C117" t="s">
        <v>1117</v>
      </c>
      <c r="D117" t="s">
        <v>144</v>
      </c>
      <c r="E117" t="str">
        <f>LEFT(Table_clallam_Oversight_ActiveFunds[[#This Row],[Fund]],5)</f>
        <v>001-2</v>
      </c>
      <c r="G117">
        <f t="shared" si="6"/>
      </c>
      <c r="K117" t="str">
        <f t="shared" si="7"/>
        <v>099-2</v>
      </c>
      <c r="L117" t="s">
        <v>1118</v>
      </c>
      <c r="M117" s="30"/>
    </row>
    <row r="118" ht="15" customHeight="1" spans="1:13" x14ac:dyDescent="0.25">
      <c r="A118">
        <v>1</v>
      </c>
      <c r="B118" t="str">
        <f>LEFT(Table_clallam_Oversight_ActiveFunds[[#This Row],[Agency]],3)</f>
        <v>103</v>
      </c>
      <c r="C118" t="s">
        <v>1117</v>
      </c>
      <c r="D118" t="s">
        <v>712</v>
      </c>
      <c r="E118" t="str">
        <f>LEFT(Table_clallam_Oversight_ActiveFunds[[#This Row],[Fund]],5)</f>
        <v>001-7</v>
      </c>
      <c r="G118">
        <f t="shared" si="6"/>
      </c>
      <c r="K118" t="str">
        <f t="shared" si="7"/>
        <v>099-7</v>
      </c>
      <c r="L118" t="s">
        <v>1119</v>
      </c>
      <c r="M118" s="30"/>
    </row>
    <row r="119" ht="15" customHeight="1" spans="1:13" x14ac:dyDescent="0.25">
      <c r="A119">
        <v>1</v>
      </c>
      <c r="B119" t="str">
        <f>LEFT(Table_clallam_Oversight_ActiveFunds[[#This Row],[Agency]],3)</f>
        <v>103</v>
      </c>
      <c r="C119" t="s">
        <v>1117</v>
      </c>
      <c r="D119" t="s">
        <v>737</v>
      </c>
      <c r="E119" t="str">
        <f>LEFT(Table_clallam_Oversight_ActiveFunds[[#This Row],[Fund]],5)</f>
        <v>001-H</v>
      </c>
      <c r="G119">
        <f t="shared" si="6"/>
      </c>
      <c r="K119" t="str">
        <f t="shared" si="7"/>
        <v>09B-6</v>
      </c>
      <c r="L119" t="s">
        <v>1120</v>
      </c>
      <c r="M119" s="30"/>
    </row>
    <row r="120" ht="15" customHeight="1" spans="1:13" x14ac:dyDescent="0.25">
      <c r="A120">
        <v>1</v>
      </c>
      <c r="B120" t="str">
        <f>LEFT(Table_clallam_Oversight_ActiveFunds[[#This Row],[Agency]],3)</f>
        <v>103</v>
      </c>
      <c r="C120" t="s">
        <v>1117</v>
      </c>
      <c r="D120" t="s">
        <v>748</v>
      </c>
      <c r="E120" t="str">
        <f>LEFT(Table_clallam_Oversight_ActiveFunds[[#This Row],[Fund]],5)</f>
        <v>001-X</v>
      </c>
      <c r="G120">
        <f t="shared" si="6"/>
      </c>
      <c r="K120" t="str">
        <f t="shared" si="7"/>
        <v>09E-1</v>
      </c>
      <c r="L120" t="s">
        <v>1121</v>
      </c>
      <c r="M120" s="30"/>
    </row>
    <row r="121" ht="15" customHeight="1" spans="1:13" x14ac:dyDescent="0.25">
      <c r="A121">
        <v>1</v>
      </c>
      <c r="B121" t="str">
        <f>LEFT(Table_clallam_Oversight_ActiveFunds[[#This Row],[Agency]],3)</f>
        <v>103</v>
      </c>
      <c r="C121" t="s">
        <v>1117</v>
      </c>
      <c r="D121" t="s">
        <v>758</v>
      </c>
      <c r="E121" t="str">
        <f>LEFT(Table_clallam_Oversight_ActiveFunds[[#This Row],[Fund]],5)</f>
        <v>001-Z</v>
      </c>
      <c r="G121">
        <f t="shared" si="6"/>
      </c>
      <c r="K121" t="str">
        <f t="shared" si="7"/>
        <v>09H-1</v>
      </c>
      <c r="L121" t="s">
        <v>1122</v>
      </c>
      <c r="M121" s="30"/>
    </row>
    <row r="122" ht="15" customHeight="1" spans="1:13" x14ac:dyDescent="0.25">
      <c r="A122">
        <v>1</v>
      </c>
      <c r="B122" t="str">
        <f>LEFT(Table_clallam_Oversight_ActiveFunds[[#This Row],[Agency]],3)</f>
        <v>103</v>
      </c>
      <c r="C122" t="s">
        <v>1117</v>
      </c>
      <c r="D122" t="s">
        <v>988</v>
      </c>
      <c r="E122" t="str">
        <f>LEFT(Table_clallam_Oversight_ActiveFunds[[#This Row],[Fund]],5)</f>
        <v>058-1</v>
      </c>
      <c r="G122">
        <f t="shared" si="6"/>
      </c>
      <c r="K122" t="str">
        <f t="shared" si="7"/>
        <v>09H-T</v>
      </c>
      <c r="L122" t="s">
        <v>1123</v>
      </c>
      <c r="M122" s="30"/>
    </row>
    <row r="123" ht="15" customHeight="1" spans="1:13" x14ac:dyDescent="0.25">
      <c r="A123">
        <v>1</v>
      </c>
      <c r="B123" t="str">
        <f>LEFT(Table_clallam_Oversight_ActiveFunds[[#This Row],[Agency]],3)</f>
        <v>103</v>
      </c>
      <c r="C123" t="s">
        <v>1117</v>
      </c>
      <c r="D123" t="s">
        <v>146</v>
      </c>
      <c r="E123" t="str">
        <f>LEFT(Table_clallam_Oversight_ActiveFunds[[#This Row],[Fund]],5)</f>
        <v>06K-1</v>
      </c>
      <c r="G123">
        <f t="shared" si="6"/>
      </c>
      <c r="K123" t="str">
        <f t="shared" si="7"/>
        <v>09J-6</v>
      </c>
      <c r="L123" t="s">
        <v>1124</v>
      </c>
      <c r="M123" s="30"/>
    </row>
    <row r="124" ht="15" customHeight="1" spans="1:13" x14ac:dyDescent="0.25">
      <c r="A124">
        <v>1</v>
      </c>
      <c r="B124" t="str">
        <f>LEFT(Table_clallam_Oversight_ActiveFunds[[#This Row],[Agency]],3)</f>
        <v>103</v>
      </c>
      <c r="C124" t="s">
        <v>1117</v>
      </c>
      <c r="D124" t="s">
        <v>1075</v>
      </c>
      <c r="E124" t="str">
        <f>LEFT(Table_clallam_Oversight_ActiveFunds[[#This Row],[Fund]],5)</f>
        <v>084-1</v>
      </c>
      <c r="G124">
        <f t="shared" si="6"/>
      </c>
      <c r="K124" t="str">
        <f t="shared" si="7"/>
        <v>09L-6</v>
      </c>
      <c r="L124" t="s">
        <v>1125</v>
      </c>
      <c r="M124" s="30"/>
    </row>
    <row r="125" ht="15" customHeight="1" spans="1:13" x14ac:dyDescent="0.25">
      <c r="A125">
        <v>1</v>
      </c>
      <c r="B125" t="str">
        <f>LEFT(Table_clallam_Oversight_ActiveFunds[[#This Row],[Agency]],3)</f>
        <v>103</v>
      </c>
      <c r="C125" t="s">
        <v>1117</v>
      </c>
      <c r="D125" t="s">
        <v>892</v>
      </c>
      <c r="E125" t="str">
        <f>LEFT(Table_clallam_Oversight_ActiveFunds[[#This Row],[Fund]],5)</f>
        <v>09R-1</v>
      </c>
      <c r="G125">
        <f t="shared" si="6"/>
      </c>
      <c r="K125" t="str">
        <f t="shared" si="7"/>
        <v>09R-1</v>
      </c>
      <c r="L125" t="s">
        <v>892</v>
      </c>
      <c r="M125" s="30"/>
    </row>
    <row r="126" ht="15" customHeight="1" spans="1:13" x14ac:dyDescent="0.25">
      <c r="A126">
        <v>1</v>
      </c>
      <c r="B126" t="str">
        <f>LEFT(Table_clallam_Oversight_ActiveFunds[[#This Row],[Agency]],3)</f>
        <v>103</v>
      </c>
      <c r="C126" t="s">
        <v>1117</v>
      </c>
      <c r="D126" t="s">
        <v>1126</v>
      </c>
      <c r="E126" t="str">
        <f>LEFT(Table_clallam_Oversight_ActiveFunds[[#This Row],[Fund]],5)</f>
        <v>107-1</v>
      </c>
      <c r="G126">
        <f t="shared" si="6"/>
      </c>
      <c r="K126" t="str">
        <f t="shared" si="7"/>
        <v>102-1</v>
      </c>
      <c r="L126" t="s">
        <v>1127</v>
      </c>
      <c r="M126" s="30"/>
    </row>
    <row r="127" ht="15" customHeight="1" spans="1:13" x14ac:dyDescent="0.25">
      <c r="A127">
        <v>1</v>
      </c>
      <c r="B127" t="str">
        <f>LEFT(Table_clallam_Oversight_ActiveFunds[[#This Row],[Agency]],3)</f>
        <v>103</v>
      </c>
      <c r="C127" t="s">
        <v>1117</v>
      </c>
      <c r="D127" t="s">
        <v>1128</v>
      </c>
      <c r="E127" t="str">
        <f>LEFT(Table_clallam_Oversight_ActiveFunds[[#This Row],[Fund]],5)</f>
        <v>10B-1</v>
      </c>
      <c r="G127">
        <f t="shared" si="6"/>
      </c>
      <c r="K127" t="str">
        <f t="shared" si="7"/>
        <v>104-1</v>
      </c>
      <c r="L127" t="s">
        <v>1129</v>
      </c>
      <c r="M127" s="30"/>
    </row>
    <row r="128" ht="15" customHeight="1" spans="1:13" x14ac:dyDescent="0.25">
      <c r="A128">
        <v>1</v>
      </c>
      <c r="B128" t="str">
        <f>LEFT(Table_clallam_Oversight_ActiveFunds[[#This Row],[Agency]],3)</f>
        <v>103</v>
      </c>
      <c r="C128" t="s">
        <v>1117</v>
      </c>
      <c r="D128" t="s">
        <v>1130</v>
      </c>
      <c r="E128" t="str">
        <f>LEFT(Table_clallam_Oversight_ActiveFunds[[#This Row],[Fund]],5)</f>
        <v>12C-1</v>
      </c>
      <c r="G128">
        <f t="shared" si="6"/>
      </c>
      <c r="K128" t="str">
        <f t="shared" si="7"/>
        <v>106-1</v>
      </c>
      <c r="L128" t="s">
        <v>1131</v>
      </c>
      <c r="M128" s="30"/>
    </row>
    <row r="129" ht="15" customHeight="1" spans="1:13" x14ac:dyDescent="0.25">
      <c r="A129">
        <v>1</v>
      </c>
      <c r="B129" t="str">
        <f>LEFT(Table_clallam_Oversight_ActiveFunds[[#This Row],[Agency]],3)</f>
        <v>103</v>
      </c>
      <c r="C129" t="s">
        <v>1117</v>
      </c>
      <c r="D129" t="s">
        <v>1132</v>
      </c>
      <c r="E129" t="str">
        <f>LEFT(Table_clallam_Oversight_ActiveFunds[[#This Row],[Fund]],5)</f>
        <v>14H-1</v>
      </c>
      <c r="G129">
        <f t="shared" si="6"/>
      </c>
      <c r="K129" t="str">
        <f t="shared" si="7"/>
        <v>106-2</v>
      </c>
      <c r="L129" t="s">
        <v>1133</v>
      </c>
      <c r="M129" s="30"/>
    </row>
    <row r="130" ht="15" customHeight="1" spans="1:13" x14ac:dyDescent="0.25">
      <c r="A130">
        <v>1</v>
      </c>
      <c r="B130" t="str">
        <f>LEFT(Table_clallam_Oversight_ActiveFunds[[#This Row],[Agency]],3)</f>
        <v>103</v>
      </c>
      <c r="C130" t="s">
        <v>1117</v>
      </c>
      <c r="D130" t="s">
        <v>1134</v>
      </c>
      <c r="E130" t="str">
        <f>LEFT(Table_clallam_Oversight_ActiveFunds[[#This Row],[Fund]],5)</f>
        <v>14M-1</v>
      </c>
      <c r="G130">
        <f t="shared" si="6"/>
      </c>
      <c r="K130" t="str">
        <f t="shared" si="7"/>
        <v>106-7</v>
      </c>
      <c r="L130" t="s">
        <v>1135</v>
      </c>
      <c r="M130" s="30"/>
    </row>
    <row r="131" ht="15" customHeight="1" spans="1:13" x14ac:dyDescent="0.25">
      <c r="A131">
        <v>1</v>
      </c>
      <c r="B131" t="str">
        <f>LEFT(Table_clallam_Oversight_ActiveFunds[[#This Row],[Agency]],3)</f>
        <v>103</v>
      </c>
      <c r="C131" t="s">
        <v>1117</v>
      </c>
      <c r="D131" t="s">
        <v>163</v>
      </c>
      <c r="E131" t="str">
        <f>LEFT(Table_clallam_Oversight_ActiveFunds[[#This Row],[Fund]],5)</f>
        <v>150-1</v>
      </c>
      <c r="G131">
        <f t="shared" si="6"/>
      </c>
      <c r="K131" t="str">
        <f t="shared" si="7"/>
        <v>107-1</v>
      </c>
      <c r="L131" t="s">
        <v>1126</v>
      </c>
      <c r="M131" s="30"/>
    </row>
    <row r="132" ht="15" customHeight="1" spans="1:13" x14ac:dyDescent="0.25">
      <c r="A132">
        <v>1</v>
      </c>
      <c r="B132" t="str">
        <f>LEFT(Table_clallam_Oversight_ActiveFunds[[#This Row],[Agency]],3)</f>
        <v>103</v>
      </c>
      <c r="C132" t="s">
        <v>1117</v>
      </c>
      <c r="D132" t="s">
        <v>882</v>
      </c>
      <c r="E132" t="str">
        <f>LEFT(Table_clallam_Oversight_ActiveFunds[[#This Row],[Fund]],5)</f>
        <v>17L-6</v>
      </c>
      <c r="G132">
        <f t="shared" si="6"/>
      </c>
      <c r="K132" t="str">
        <f t="shared" si="7"/>
        <v>108-1</v>
      </c>
      <c r="L132" t="s">
        <v>699</v>
      </c>
      <c r="M132" s="30"/>
    </row>
    <row r="133" ht="15" customHeight="1" spans="1:13" x14ac:dyDescent="0.25">
      <c r="A133">
        <v>1</v>
      </c>
      <c r="B133" t="str">
        <f>LEFT(Table_clallam_Oversight_ActiveFunds[[#This Row],[Agency]],3)</f>
        <v>103</v>
      </c>
      <c r="C133" t="s">
        <v>1117</v>
      </c>
      <c r="D133" t="s">
        <v>1136</v>
      </c>
      <c r="E133" t="str">
        <f>LEFT(Table_clallam_Oversight_ActiveFunds[[#This Row],[Fund]],5)</f>
        <v>19V-1</v>
      </c>
      <c r="G133">
        <f t="shared" ref="G133:G196" si="9">LEFT(I133,3)</f>
      </c>
      <c r="K133" t="str">
        <f t="shared" ref="K133:K196" si="10">MID(L133,1,5)</f>
        <v>108-2</v>
      </c>
      <c r="L133" t="s">
        <v>1137</v>
      </c>
      <c r="M133" s="30"/>
    </row>
    <row r="134" ht="15" customHeight="1" spans="1:13" x14ac:dyDescent="0.25">
      <c r="A134">
        <v>1</v>
      </c>
      <c r="B134" t="str">
        <f>LEFT(Table_clallam_Oversight_ActiveFunds[[#This Row],[Agency]],3)</f>
        <v>103</v>
      </c>
      <c r="C134" t="s">
        <v>1117</v>
      </c>
      <c r="D134" t="s">
        <v>1138</v>
      </c>
      <c r="E134" t="str">
        <f>LEFT(Table_clallam_Oversight_ActiveFunds[[#This Row],[Fund]],5)</f>
        <v>205-6</v>
      </c>
      <c r="G134">
        <f t="shared" si="9"/>
      </c>
      <c r="K134" t="str">
        <f t="shared" si="10"/>
        <v>108-7</v>
      </c>
      <c r="L134" t="s">
        <v>1139</v>
      </c>
      <c r="M134" s="30"/>
    </row>
    <row r="135" ht="15" customHeight="1" spans="1:13" x14ac:dyDescent="0.25">
      <c r="A135">
        <v>1</v>
      </c>
      <c r="B135" t="str">
        <f>LEFT(Table_clallam_Oversight_ActiveFunds[[#This Row],[Agency]],3)</f>
        <v>103</v>
      </c>
      <c r="C135" t="s">
        <v>1117</v>
      </c>
      <c r="D135" t="s">
        <v>1140</v>
      </c>
      <c r="E135" t="str">
        <f>LEFT(Table_clallam_Oversight_ActiveFunds[[#This Row],[Fund]],5)</f>
        <v>22S-6</v>
      </c>
      <c r="G135">
        <f t="shared" si="9"/>
      </c>
      <c r="K135" t="str">
        <f t="shared" si="10"/>
        <v>109-1</v>
      </c>
      <c r="L135" t="s">
        <v>1141</v>
      </c>
      <c r="M135" s="30"/>
    </row>
    <row r="136" ht="15" customHeight="1" spans="1:13" x14ac:dyDescent="0.25">
      <c r="A136">
        <v>1</v>
      </c>
      <c r="B136" t="str">
        <f>LEFT(Table_clallam_Oversight_ActiveFunds[[#This Row],[Agency]],3)</f>
        <v>103</v>
      </c>
      <c r="C136" t="s">
        <v>1117</v>
      </c>
      <c r="D136" t="s">
        <v>1142</v>
      </c>
      <c r="E136" t="str">
        <f>LEFT(Table_clallam_Oversight_ActiveFunds[[#This Row],[Fund]],5)</f>
        <v>22T-1</v>
      </c>
      <c r="G136">
        <f t="shared" si="9"/>
      </c>
      <c r="K136" t="str">
        <f t="shared" si="10"/>
        <v>109-2</v>
      </c>
      <c r="L136" t="s">
        <v>1143</v>
      </c>
      <c r="M136" s="30"/>
    </row>
    <row r="137" ht="15" customHeight="1" spans="1:13" x14ac:dyDescent="0.25">
      <c r="A137">
        <v>1</v>
      </c>
      <c r="B137" t="str">
        <f>LEFT(Table_clallam_Oversight_ActiveFunds[[#This Row],[Agency]],3)</f>
        <v>103</v>
      </c>
      <c r="C137" t="s">
        <v>1117</v>
      </c>
      <c r="D137" t="s">
        <v>1144</v>
      </c>
      <c r="E137" t="str">
        <f>LEFT(Table_clallam_Oversight_ActiveFunds[[#This Row],[Fund]],5)</f>
        <v>23R-1</v>
      </c>
      <c r="G137">
        <f t="shared" si="9"/>
      </c>
      <c r="K137" t="str">
        <f t="shared" si="10"/>
        <v>109-7</v>
      </c>
      <c r="L137" t="s">
        <v>1145</v>
      </c>
      <c r="M137" s="30"/>
    </row>
    <row r="138" ht="15" customHeight="1" spans="1:13" x14ac:dyDescent="0.25">
      <c r="A138">
        <v>1</v>
      </c>
      <c r="B138" t="str">
        <f>LEFT(Table_clallam_Oversight_ActiveFunds[[#This Row],[Agency]],3)</f>
        <v>103</v>
      </c>
      <c r="C138" t="s">
        <v>1117</v>
      </c>
      <c r="D138" t="s">
        <v>1146</v>
      </c>
      <c r="E138" t="str">
        <f>LEFT(Table_clallam_Oversight_ActiveFunds[[#This Row],[Fund]],5)</f>
        <v>263-1</v>
      </c>
      <c r="G138">
        <f t="shared" si="9"/>
      </c>
      <c r="K138" t="str">
        <f t="shared" si="10"/>
        <v>10B-1</v>
      </c>
      <c r="L138" t="s">
        <v>1128</v>
      </c>
      <c r="M138" s="30"/>
    </row>
    <row r="139" ht="15" customHeight="1" spans="1:13" x14ac:dyDescent="0.25">
      <c r="A139">
        <v>1</v>
      </c>
      <c r="B139" t="str">
        <f>LEFT(Table_clallam_Oversight_ActiveFunds[[#This Row],[Agency]],3)</f>
        <v>103</v>
      </c>
      <c r="C139" t="s">
        <v>1117</v>
      </c>
      <c r="D139" t="s">
        <v>1147</v>
      </c>
      <c r="E139" t="str">
        <f>LEFT(Table_clallam_Oversight_ActiveFunds[[#This Row],[Fund]],5)</f>
        <v>26U-1</v>
      </c>
      <c r="G139">
        <f t="shared" si="9"/>
      </c>
      <c r="K139" t="str">
        <f t="shared" si="10"/>
        <v>10G-1</v>
      </c>
      <c r="L139" t="s">
        <v>1148</v>
      </c>
      <c r="M139" s="30"/>
    </row>
    <row r="140" ht="15" customHeight="1" spans="1:13" x14ac:dyDescent="0.25">
      <c r="A140">
        <v>1</v>
      </c>
      <c r="B140" t="str">
        <f>LEFT(Table_clallam_Oversight_ActiveFunds[[#This Row],[Agency]],3)</f>
        <v>103</v>
      </c>
      <c r="C140" t="s">
        <v>1117</v>
      </c>
      <c r="D140" t="s">
        <v>1149</v>
      </c>
      <c r="E140" t="str">
        <f>LEFT(Table_clallam_Oversight_ActiveFunds[[#This Row],[Fund]],5)</f>
        <v>27B-1</v>
      </c>
      <c r="G140">
        <f t="shared" si="9"/>
      </c>
      <c r="K140" t="str">
        <f t="shared" si="10"/>
        <v>110-1</v>
      </c>
      <c r="L140" t="s">
        <v>1150</v>
      </c>
      <c r="M140" s="30"/>
    </row>
    <row r="141" ht="15" customHeight="1" spans="1:13" x14ac:dyDescent="0.25">
      <c r="A141">
        <v>1</v>
      </c>
      <c r="B141" t="str">
        <f>LEFT(Table_clallam_Oversight_ActiveFunds[[#This Row],[Agency]],3)</f>
        <v>103</v>
      </c>
      <c r="C141" t="s">
        <v>1117</v>
      </c>
      <c r="D141" t="s">
        <v>1151</v>
      </c>
      <c r="E141" t="str">
        <f>LEFT(Table_clallam_Oversight_ActiveFunds[[#This Row],[Fund]],5)</f>
        <v>285-1</v>
      </c>
      <c r="G141">
        <f t="shared" si="9"/>
      </c>
      <c r="K141" t="str">
        <f t="shared" si="10"/>
        <v>110-2</v>
      </c>
      <c r="L141" t="s">
        <v>1152</v>
      </c>
      <c r="M141" s="30"/>
    </row>
    <row r="142" ht="15" customHeight="1" spans="1:13" x14ac:dyDescent="0.25">
      <c r="A142">
        <v>1</v>
      </c>
      <c r="B142" t="str">
        <f>LEFT(Table_clallam_Oversight_ActiveFunds[[#This Row],[Agency]],3)</f>
        <v>103</v>
      </c>
      <c r="C142" t="s">
        <v>1117</v>
      </c>
      <c r="D142" t="s">
        <v>1153</v>
      </c>
      <c r="E142" t="str">
        <f>LEFT(Table_clallam_Oversight_ActiveFunds[[#This Row],[Fund]],5)</f>
        <v>315-1</v>
      </c>
      <c r="G142">
        <f t="shared" si="9"/>
      </c>
      <c r="K142" t="str">
        <f t="shared" si="10"/>
        <v>110-7</v>
      </c>
      <c r="L142" t="s">
        <v>1154</v>
      </c>
      <c r="M142" s="30"/>
    </row>
    <row r="143" ht="15" customHeight="1" spans="1:13" x14ac:dyDescent="0.25">
      <c r="A143">
        <v>1</v>
      </c>
      <c r="B143" t="str">
        <f>LEFT(Table_clallam_Oversight_ActiveFunds[[#This Row],[Agency]],3)</f>
        <v>103</v>
      </c>
      <c r="C143" t="s">
        <v>1117</v>
      </c>
      <c r="D143" t="s">
        <v>1155</v>
      </c>
      <c r="E143" t="str">
        <f>LEFT(Table_clallam_Oversight_ActiveFunds[[#This Row],[Fund]],5)</f>
        <v>501-1</v>
      </c>
      <c r="G143">
        <f t="shared" si="9"/>
      </c>
      <c r="K143" t="str">
        <f t="shared" si="10"/>
        <v>111-1</v>
      </c>
      <c r="L143" t="s">
        <v>1076</v>
      </c>
      <c r="M143" s="30"/>
    </row>
    <row r="144" ht="15" customHeight="1" spans="1:13" x14ac:dyDescent="0.25">
      <c r="A144">
        <v>1</v>
      </c>
      <c r="B144" t="str">
        <f>LEFT(Table_clallam_Oversight_ActiveFunds[[#This Row],[Agency]],3)</f>
        <v>103</v>
      </c>
      <c r="C144" t="s">
        <v>1117</v>
      </c>
      <c r="D144" t="s">
        <v>1156</v>
      </c>
      <c r="E144" t="str">
        <f>LEFT(Table_clallam_Oversight_ActiveFunds[[#This Row],[Fund]],5)</f>
        <v>532-1</v>
      </c>
      <c r="G144">
        <f t="shared" si="9"/>
      </c>
      <c r="K144" t="str">
        <f t="shared" si="10"/>
        <v>111-2</v>
      </c>
      <c r="L144" t="s">
        <v>1157</v>
      </c>
      <c r="M144" s="30"/>
    </row>
    <row r="145" ht="15" customHeight="1" spans="1:13" x14ac:dyDescent="0.25">
      <c r="A145">
        <v>1</v>
      </c>
      <c r="B145" t="str">
        <f>LEFT(Table_clallam_Oversight_ActiveFunds[[#This Row],[Agency]],3)</f>
        <v>103</v>
      </c>
      <c r="C145" t="s">
        <v>1117</v>
      </c>
      <c r="D145" t="s">
        <v>971</v>
      </c>
      <c r="E145" t="str">
        <f>LEFT(Table_clallam_Oversight_ActiveFunds[[#This Row],[Fund]],5)</f>
        <v>706-2</v>
      </c>
      <c r="G145">
        <f t="shared" si="9"/>
      </c>
      <c r="K145" t="str">
        <f t="shared" si="10"/>
        <v>116-6</v>
      </c>
      <c r="L145" t="s">
        <v>1158</v>
      </c>
      <c r="M145" s="30"/>
    </row>
    <row r="146" ht="15" customHeight="1" spans="1:13" x14ac:dyDescent="0.25">
      <c r="A146">
        <v>1</v>
      </c>
      <c r="B146" t="str">
        <f>LEFT(Table_clallam_Oversight_ActiveFunds[[#This Row],[Agency]],3)</f>
        <v>103</v>
      </c>
      <c r="C146" t="s">
        <v>1117</v>
      </c>
      <c r="D146" t="s">
        <v>1159</v>
      </c>
      <c r="E146" t="str">
        <f>LEFT(Table_clallam_Oversight_ActiveFunds[[#This Row],[Fund]],5)</f>
        <v>746-6</v>
      </c>
      <c r="G146">
        <f t="shared" si="9"/>
      </c>
      <c r="K146" t="str">
        <f t="shared" si="10"/>
        <v>119-2</v>
      </c>
      <c r="L146" t="s">
        <v>1160</v>
      </c>
      <c r="M146" s="30"/>
    </row>
    <row r="147" ht="15" customHeight="1" spans="1:13" x14ac:dyDescent="0.25">
      <c r="A147">
        <v>1</v>
      </c>
      <c r="B147" t="str">
        <f>LEFT(Table_clallam_Oversight_ActiveFunds[[#This Row],[Agency]],3)</f>
        <v>103</v>
      </c>
      <c r="C147" t="s">
        <v>1117</v>
      </c>
      <c r="D147" t="s">
        <v>1161</v>
      </c>
      <c r="E147" t="str">
        <f>LEFT(Table_clallam_Oversight_ActiveFunds[[#This Row],[Fund]],5)</f>
        <v>759-6</v>
      </c>
      <c r="G147">
        <f t="shared" si="9"/>
      </c>
      <c r="K147" t="str">
        <f t="shared" si="10"/>
        <v>11A-6</v>
      </c>
      <c r="L147" t="s">
        <v>1162</v>
      </c>
      <c r="M147" s="30"/>
    </row>
    <row r="148" ht="15" customHeight="1" spans="1:13" x14ac:dyDescent="0.25">
      <c r="A148">
        <v>1</v>
      </c>
      <c r="B148" t="str">
        <f>LEFT(Table_clallam_Oversight_ActiveFunds[[#This Row],[Agency]],3)</f>
        <v>103</v>
      </c>
      <c r="C148" t="s">
        <v>1117</v>
      </c>
      <c r="D148" t="s">
        <v>1163</v>
      </c>
      <c r="E148" t="str">
        <f>LEFT(Table_clallam_Oversight_ActiveFunds[[#This Row],[Fund]],5)</f>
        <v>777-1</v>
      </c>
      <c r="G148">
        <f t="shared" si="9"/>
      </c>
      <c r="K148" t="str">
        <f t="shared" si="10"/>
        <v>11B-1</v>
      </c>
      <c r="L148" t="s">
        <v>1164</v>
      </c>
      <c r="M148" s="30"/>
    </row>
    <row r="149" ht="15" customHeight="1" spans="1:13" x14ac:dyDescent="0.25">
      <c r="A149">
        <v>1</v>
      </c>
      <c r="B149" t="str">
        <f>LEFT(Table_clallam_Oversight_ActiveFunds[[#This Row],[Agency]],3)</f>
        <v>103</v>
      </c>
      <c r="C149" t="s">
        <v>1117</v>
      </c>
      <c r="D149" t="s">
        <v>1165</v>
      </c>
      <c r="E149" t="str">
        <f>LEFT(Table_clallam_Oversight_ActiveFunds[[#This Row],[Fund]],5)</f>
        <v>887-1</v>
      </c>
      <c r="G149">
        <f t="shared" si="9"/>
      </c>
      <c r="K149" t="str">
        <f t="shared" si="10"/>
        <v>11E-1</v>
      </c>
      <c r="L149" t="s">
        <v>1166</v>
      </c>
      <c r="M149" s="30"/>
    </row>
    <row r="150" ht="15" customHeight="1" spans="1:13" x14ac:dyDescent="0.25">
      <c r="A150">
        <v>1</v>
      </c>
      <c r="B150" t="str">
        <f>LEFT(Table_clallam_Oversight_ActiveFunds[[#This Row],[Agency]],3)</f>
        <v>103</v>
      </c>
      <c r="C150" t="s">
        <v>1117</v>
      </c>
      <c r="D150" t="s">
        <v>1167</v>
      </c>
      <c r="E150" t="str">
        <f>LEFT(Table_clallam_Oversight_ActiveFunds[[#This Row],[Fund]],5)</f>
        <v>218-2</v>
      </c>
      <c r="G150">
        <f t="shared" si="9"/>
      </c>
      <c r="K150" t="str">
        <f t="shared" si="10"/>
        <v>11H-1</v>
      </c>
      <c r="L150" t="s">
        <v>1168</v>
      </c>
      <c r="M150" s="30"/>
    </row>
    <row r="151" ht="15" customHeight="1" spans="1:13" x14ac:dyDescent="0.25">
      <c r="A151">
        <v>1</v>
      </c>
      <c r="B151" t="str">
        <f>LEFT(Table_clallam_Oversight_ActiveFunds[[#This Row],[Agency]],3)</f>
        <v>103</v>
      </c>
      <c r="C151" t="s">
        <v>1117</v>
      </c>
      <c r="D151" t="s">
        <v>1169</v>
      </c>
      <c r="E151" t="str">
        <f>LEFT(Table_clallam_Oversight_ActiveFunds[[#This Row],[Fund]],5)</f>
        <v>26Q-1</v>
      </c>
      <c r="G151">
        <f t="shared" si="9"/>
      </c>
      <c r="K151" t="str">
        <f t="shared" si="10"/>
        <v>11J-6</v>
      </c>
      <c r="L151" t="s">
        <v>1170</v>
      </c>
      <c r="M151" s="30"/>
    </row>
    <row r="152" ht="15" customHeight="1" spans="1:13" x14ac:dyDescent="0.25">
      <c r="A152">
        <v>1</v>
      </c>
      <c r="B152" t="str">
        <f>LEFT(Table_clallam_Oversight_ActiveFunds[[#This Row],[Agency]],3)</f>
        <v>104</v>
      </c>
      <c r="C152" t="s">
        <v>1171</v>
      </c>
      <c r="D152" t="s">
        <v>28</v>
      </c>
      <c r="E152" t="str">
        <f>LEFT(Table_clallam_Oversight_ActiveFunds[[#This Row],[Fund]],5)</f>
        <v>001-1</v>
      </c>
      <c r="G152">
        <f t="shared" si="9"/>
      </c>
      <c r="K152" t="str">
        <f t="shared" si="10"/>
        <v>11K-1</v>
      </c>
      <c r="L152" t="s">
        <v>1172</v>
      </c>
      <c r="M152" s="30"/>
    </row>
    <row r="153" ht="15" customHeight="1" spans="1:13" x14ac:dyDescent="0.25">
      <c r="A153">
        <v>1</v>
      </c>
      <c r="B153" t="str">
        <f>LEFT(Table_clallam_Oversight_ActiveFunds[[#This Row],[Agency]],3)</f>
        <v>104</v>
      </c>
      <c r="C153" t="s">
        <v>1171</v>
      </c>
      <c r="D153" t="s">
        <v>1173</v>
      </c>
      <c r="E153" t="str">
        <f>LEFT(Table_clallam_Oversight_ActiveFunds[[#This Row],[Fund]],5)</f>
        <v>578-1</v>
      </c>
      <c r="G153">
        <f t="shared" si="9"/>
      </c>
      <c r="K153" t="str">
        <f t="shared" si="10"/>
        <v>11V-7</v>
      </c>
      <c r="L153" t="s">
        <v>1174</v>
      </c>
      <c r="M153" s="30"/>
    </row>
    <row r="154" ht="15" customHeight="1" spans="1:13" x14ac:dyDescent="0.25">
      <c r="A154">
        <v>1</v>
      </c>
      <c r="B154" t="str">
        <f>LEFT(Table_clallam_Oversight_ActiveFunds[[#This Row],[Agency]],3)</f>
        <v>105</v>
      </c>
      <c r="C154" t="s">
        <v>1175</v>
      </c>
      <c r="D154" t="s">
        <v>28</v>
      </c>
      <c r="E154" t="str">
        <f>LEFT(Table_clallam_Oversight_ActiveFunds[[#This Row],[Fund]],5)</f>
        <v>001-1</v>
      </c>
      <c r="G154">
        <f t="shared" si="9"/>
      </c>
      <c r="K154" t="str">
        <f t="shared" si="10"/>
        <v>120-1</v>
      </c>
      <c r="L154" t="s">
        <v>1176</v>
      </c>
      <c r="M154" s="30"/>
    </row>
    <row r="155" ht="15" customHeight="1" spans="1:13" x14ac:dyDescent="0.25">
      <c r="A155">
        <v>1</v>
      </c>
      <c r="B155" t="str">
        <f>LEFT(Table_clallam_Oversight_ActiveFunds[[#This Row],[Agency]],3)</f>
        <v>105</v>
      </c>
      <c r="C155" t="s">
        <v>1175</v>
      </c>
      <c r="D155" t="s">
        <v>144</v>
      </c>
      <c r="E155" t="str">
        <f>LEFT(Table_clallam_Oversight_ActiveFunds[[#This Row],[Fund]],5)</f>
        <v>001-2</v>
      </c>
      <c r="G155">
        <f t="shared" si="9"/>
      </c>
      <c r="K155" t="str">
        <f t="shared" si="10"/>
        <v>125-1</v>
      </c>
      <c r="L155" t="s">
        <v>1177</v>
      </c>
      <c r="M155" s="30"/>
    </row>
    <row r="156" ht="15" customHeight="1" spans="1:13" x14ac:dyDescent="0.25">
      <c r="A156">
        <v>1</v>
      </c>
      <c r="B156" t="str">
        <f>LEFT(Table_clallam_Oversight_ActiveFunds[[#This Row],[Agency]],3)</f>
        <v>105</v>
      </c>
      <c r="C156" t="s">
        <v>1175</v>
      </c>
      <c r="D156" t="s">
        <v>712</v>
      </c>
      <c r="E156" t="str">
        <f>LEFT(Table_clallam_Oversight_ActiveFunds[[#This Row],[Fund]],5)</f>
        <v>001-7</v>
      </c>
      <c r="G156">
        <f t="shared" si="9"/>
      </c>
      <c r="K156" t="str">
        <f t="shared" si="10"/>
        <v>126-6</v>
      </c>
      <c r="L156" t="s">
        <v>1178</v>
      </c>
      <c r="M156" s="30"/>
    </row>
    <row r="157" ht="15" customHeight="1" spans="1:13" x14ac:dyDescent="0.25">
      <c r="A157">
        <v>1</v>
      </c>
      <c r="B157" t="str">
        <f>LEFT(Table_clallam_Oversight_ActiveFunds[[#This Row],[Agency]],3)</f>
        <v>105</v>
      </c>
      <c r="C157" t="s">
        <v>1175</v>
      </c>
      <c r="D157" t="s">
        <v>737</v>
      </c>
      <c r="E157" t="str">
        <f>LEFT(Table_clallam_Oversight_ActiveFunds[[#This Row],[Fund]],5)</f>
        <v>001-H</v>
      </c>
      <c r="G157">
        <f t="shared" si="9"/>
      </c>
      <c r="K157" t="str">
        <f t="shared" si="10"/>
        <v>128-6</v>
      </c>
      <c r="L157" t="s">
        <v>1179</v>
      </c>
      <c r="M157" s="30"/>
    </row>
    <row r="158" ht="15" customHeight="1" spans="1:13" x14ac:dyDescent="0.25">
      <c r="A158">
        <v>1</v>
      </c>
      <c r="B158" t="str">
        <f>LEFT(Table_clallam_Oversight_ActiveFunds[[#This Row],[Agency]],3)</f>
        <v>105</v>
      </c>
      <c r="C158" t="s">
        <v>1175</v>
      </c>
      <c r="D158" t="s">
        <v>892</v>
      </c>
      <c r="E158" t="str">
        <f>LEFT(Table_clallam_Oversight_ActiveFunds[[#This Row],[Fund]],5)</f>
        <v>09R-1</v>
      </c>
      <c r="G158">
        <f t="shared" si="9"/>
      </c>
      <c r="K158" t="str">
        <f t="shared" si="10"/>
        <v>12C-1</v>
      </c>
      <c r="L158" t="s">
        <v>1130</v>
      </c>
      <c r="M158" s="30"/>
    </row>
    <row r="159" ht="15" customHeight="1" spans="1:13" x14ac:dyDescent="0.25">
      <c r="A159">
        <v>1</v>
      </c>
      <c r="B159" t="str">
        <f>LEFT(Table_clallam_Oversight_ActiveFunds[[#This Row],[Agency]],3)</f>
        <v>105</v>
      </c>
      <c r="C159" t="s">
        <v>1175</v>
      </c>
      <c r="D159" t="s">
        <v>1180</v>
      </c>
      <c r="E159" t="str">
        <f>LEFT(Table_clallam_Oversight_ActiveFunds[[#This Row],[Fund]],5)</f>
        <v>16R-6</v>
      </c>
      <c r="G159">
        <f t="shared" si="9"/>
      </c>
      <c r="K159" t="str">
        <f t="shared" si="10"/>
        <v>12F-6</v>
      </c>
      <c r="L159" t="s">
        <v>1079</v>
      </c>
      <c r="M159" s="30"/>
    </row>
    <row r="160" ht="15" customHeight="1" spans="1:13" x14ac:dyDescent="0.25">
      <c r="A160">
        <v>1</v>
      </c>
      <c r="B160" t="str">
        <f>LEFT(Table_clallam_Oversight_ActiveFunds[[#This Row],[Agency]],3)</f>
        <v>105</v>
      </c>
      <c r="C160" t="s">
        <v>1175</v>
      </c>
      <c r="D160" t="s">
        <v>442</v>
      </c>
      <c r="E160" t="str">
        <f>LEFT(Table_clallam_Oversight_ActiveFunds[[#This Row],[Fund]],5)</f>
        <v>24J-1</v>
      </c>
      <c r="G160">
        <f t="shared" si="9"/>
      </c>
      <c r="K160" t="str">
        <f t="shared" si="10"/>
        <v>12G-6</v>
      </c>
      <c r="L160" t="s">
        <v>1181</v>
      </c>
      <c r="M160" s="30"/>
    </row>
    <row r="161" ht="15" customHeight="1" spans="1:13" x14ac:dyDescent="0.25">
      <c r="A161">
        <v>1</v>
      </c>
      <c r="B161" t="str">
        <f>LEFT(Table_clallam_Oversight_ActiveFunds[[#This Row],[Agency]],3)</f>
        <v>105</v>
      </c>
      <c r="C161" t="s">
        <v>1175</v>
      </c>
      <c r="D161" t="s">
        <v>1182</v>
      </c>
      <c r="E161" t="str">
        <f>LEFT(Table_clallam_Oversight_ActiveFunds[[#This Row],[Fund]],5)</f>
        <v>25N-1</v>
      </c>
      <c r="G161">
        <f t="shared" si="9"/>
      </c>
      <c r="K161" t="str">
        <f t="shared" si="10"/>
        <v>12L-6</v>
      </c>
      <c r="L161" t="s">
        <v>1183</v>
      </c>
      <c r="M161" s="30"/>
    </row>
    <row r="162" ht="15" customHeight="1" spans="1:13" x14ac:dyDescent="0.25">
      <c r="A162">
        <v>1</v>
      </c>
      <c r="B162" t="str">
        <f>LEFT(Table_clallam_Oversight_ActiveFunds[[#This Row],[Agency]],3)</f>
        <v>105</v>
      </c>
      <c r="C162" t="s">
        <v>1175</v>
      </c>
      <c r="D162" t="s">
        <v>1030</v>
      </c>
      <c r="E162" t="str">
        <f>LEFT(Table_clallam_Oversight_ActiveFunds[[#This Row],[Fund]],5)</f>
        <v>415-1</v>
      </c>
      <c r="G162">
        <f t="shared" si="9"/>
      </c>
      <c r="K162" t="str">
        <f t="shared" si="10"/>
        <v>12M-1</v>
      </c>
      <c r="L162" t="s">
        <v>1020</v>
      </c>
      <c r="M162" s="30"/>
    </row>
    <row r="163" ht="15" customHeight="1" spans="1:13" x14ac:dyDescent="0.25">
      <c r="A163">
        <v>1</v>
      </c>
      <c r="B163" t="str">
        <f>LEFT(Table_clallam_Oversight_ActiveFunds[[#This Row],[Agency]],3)</f>
        <v>105</v>
      </c>
      <c r="C163" t="s">
        <v>1175</v>
      </c>
      <c r="D163" t="s">
        <v>1184</v>
      </c>
      <c r="E163" t="str">
        <f>LEFT(Table_clallam_Oversight_ActiveFunds[[#This Row],[Fund]],5)</f>
        <v>421-6</v>
      </c>
      <c r="G163">
        <f t="shared" si="9"/>
      </c>
      <c r="K163" t="str">
        <f t="shared" si="10"/>
        <v>12P-1</v>
      </c>
      <c r="L163" t="s">
        <v>1185</v>
      </c>
      <c r="M163" s="30"/>
    </row>
    <row r="164" ht="15" customHeight="1" spans="1:13" x14ac:dyDescent="0.25">
      <c r="A164">
        <v>1</v>
      </c>
      <c r="B164" t="str">
        <f>LEFT(Table_clallam_Oversight_ActiveFunds[[#This Row],[Agency]],3)</f>
        <v>105</v>
      </c>
      <c r="C164" t="s">
        <v>1175</v>
      </c>
      <c r="D164" t="s">
        <v>1186</v>
      </c>
      <c r="E164" t="str">
        <f>LEFT(Table_clallam_Oversight_ActiveFunds[[#This Row],[Fund]],5)</f>
        <v>436-6</v>
      </c>
      <c r="G164">
        <f t="shared" si="9"/>
      </c>
      <c r="K164" t="str">
        <f t="shared" si="10"/>
        <v>12T-1</v>
      </c>
      <c r="L164" t="s">
        <v>1187</v>
      </c>
      <c r="M164" s="30"/>
    </row>
    <row r="165" ht="15" customHeight="1" spans="1:13" x14ac:dyDescent="0.25">
      <c r="A165">
        <v>1</v>
      </c>
      <c r="B165" t="str">
        <f>LEFT(Table_clallam_Oversight_ActiveFunds[[#This Row],[Agency]],3)</f>
        <v>105</v>
      </c>
      <c r="C165" t="s">
        <v>1175</v>
      </c>
      <c r="D165" t="s">
        <v>1188</v>
      </c>
      <c r="E165" t="str">
        <f>LEFT(Table_clallam_Oversight_ActiveFunds[[#This Row],[Fund]],5)</f>
        <v>455-1</v>
      </c>
      <c r="G165">
        <f t="shared" si="9"/>
      </c>
      <c r="K165" t="str">
        <f t="shared" si="10"/>
        <v>12T-6</v>
      </c>
      <c r="L165" t="s">
        <v>1189</v>
      </c>
      <c r="M165" s="30"/>
    </row>
    <row r="166" ht="15" customHeight="1" spans="1:13" x14ac:dyDescent="0.25">
      <c r="A166">
        <v>1</v>
      </c>
      <c r="B166" t="str">
        <f>LEFT(Table_clallam_Oversight_ActiveFunds[[#This Row],[Agency]],3)</f>
        <v>105</v>
      </c>
      <c r="C166" t="s">
        <v>1175</v>
      </c>
      <c r="D166" t="s">
        <v>1190</v>
      </c>
      <c r="E166" t="str">
        <f>LEFT(Table_clallam_Oversight_ActiveFunds[[#This Row],[Fund]],5)</f>
        <v>466-1</v>
      </c>
      <c r="G166">
        <f t="shared" si="9"/>
      </c>
      <c r="K166" t="str">
        <f t="shared" si="10"/>
        <v>131-6</v>
      </c>
      <c r="L166" t="s">
        <v>1191</v>
      </c>
      <c r="M166" s="30"/>
    </row>
    <row r="167" ht="15" customHeight="1" spans="1:13" x14ac:dyDescent="0.25">
      <c r="A167">
        <v>1</v>
      </c>
      <c r="B167" t="str">
        <f>LEFT(Table_clallam_Oversight_ActiveFunds[[#This Row],[Agency]],3)</f>
        <v>105</v>
      </c>
      <c r="C167" t="s">
        <v>1175</v>
      </c>
      <c r="D167" t="s">
        <v>188</v>
      </c>
      <c r="E167" t="str">
        <f>LEFT(Table_clallam_Oversight_ActiveFunds[[#This Row],[Fund]],5)</f>
        <v>468-1</v>
      </c>
      <c r="G167">
        <f t="shared" si="9"/>
      </c>
      <c r="K167" t="str">
        <f t="shared" si="10"/>
        <v>133-6</v>
      </c>
      <c r="L167" t="s">
        <v>1192</v>
      </c>
      <c r="M167" s="30"/>
    </row>
    <row r="168" ht="15" customHeight="1" spans="1:13" x14ac:dyDescent="0.25">
      <c r="A168">
        <v>1</v>
      </c>
      <c r="B168" t="str">
        <f>LEFT(Table_clallam_Oversight_ActiveFunds[[#This Row],[Agency]],3)</f>
        <v>105</v>
      </c>
      <c r="C168" t="s">
        <v>1175</v>
      </c>
      <c r="D168" t="s">
        <v>1193</v>
      </c>
      <c r="E168" t="str">
        <f>LEFT(Table_clallam_Oversight_ActiveFunds[[#This Row],[Fund]],5)</f>
        <v>472-1</v>
      </c>
      <c r="G168">
        <f t="shared" si="9"/>
      </c>
      <c r="K168" t="str">
        <f t="shared" si="10"/>
        <v>134-1</v>
      </c>
      <c r="L168" t="s">
        <v>1194</v>
      </c>
      <c r="M168" s="30"/>
    </row>
    <row r="169" ht="15" customHeight="1" spans="1:13" x14ac:dyDescent="0.25">
      <c r="A169">
        <v>1</v>
      </c>
      <c r="B169" t="str">
        <f>LEFT(Table_clallam_Oversight_ActiveFunds[[#This Row],[Agency]],3)</f>
        <v>105</v>
      </c>
      <c r="C169" t="s">
        <v>1175</v>
      </c>
      <c r="D169" t="s">
        <v>1195</v>
      </c>
      <c r="E169" t="str">
        <f>LEFT(Table_clallam_Oversight_ActiveFunds[[#This Row],[Fund]],5)</f>
        <v>472-6</v>
      </c>
      <c r="G169">
        <f t="shared" si="9"/>
      </c>
      <c r="K169" t="str">
        <f t="shared" si="10"/>
        <v>138-1</v>
      </c>
      <c r="L169" t="s">
        <v>1196</v>
      </c>
      <c r="M169" s="30"/>
    </row>
    <row r="170" ht="15" customHeight="1" spans="1:13" x14ac:dyDescent="0.25">
      <c r="A170">
        <v>1</v>
      </c>
      <c r="B170" t="str">
        <f>LEFT(Table_clallam_Oversight_ActiveFunds[[#This Row],[Agency]],3)</f>
        <v>105</v>
      </c>
      <c r="C170" t="s">
        <v>1175</v>
      </c>
      <c r="D170" t="s">
        <v>735</v>
      </c>
      <c r="E170" t="str">
        <f>LEFT(Table_clallam_Oversight_ActiveFunds[[#This Row],[Fund]],5)</f>
        <v>553-1</v>
      </c>
      <c r="G170">
        <f t="shared" si="9"/>
      </c>
      <c r="K170" t="str">
        <f t="shared" si="10"/>
        <v>141-6</v>
      </c>
      <c r="L170" t="s">
        <v>1082</v>
      </c>
      <c r="M170" s="30"/>
    </row>
    <row r="171" ht="15" customHeight="1" spans="1:13" x14ac:dyDescent="0.25">
      <c r="A171">
        <v>1</v>
      </c>
      <c r="B171" t="str">
        <f>LEFT(Table_clallam_Oversight_ActiveFunds[[#This Row],[Agency]],3)</f>
        <v>105</v>
      </c>
      <c r="C171" t="s">
        <v>1175</v>
      </c>
      <c r="D171" t="s">
        <v>971</v>
      </c>
      <c r="E171" t="str">
        <f>LEFT(Table_clallam_Oversight_ActiveFunds[[#This Row],[Fund]],5)</f>
        <v>706-2</v>
      </c>
      <c r="G171">
        <f t="shared" si="9"/>
      </c>
      <c r="K171" t="str">
        <f t="shared" si="10"/>
        <v>143-6</v>
      </c>
      <c r="L171" t="s">
        <v>1197</v>
      </c>
      <c r="M171" s="30"/>
    </row>
    <row r="172" ht="15" customHeight="1" spans="1:13" x14ac:dyDescent="0.25">
      <c r="A172">
        <v>1</v>
      </c>
      <c r="B172" t="str">
        <f>LEFT(Table_clallam_Oversight_ActiveFunds[[#This Row],[Agency]],3)</f>
        <v>105</v>
      </c>
      <c r="C172" t="s">
        <v>1175</v>
      </c>
      <c r="D172" t="s">
        <v>699</v>
      </c>
      <c r="E172" t="str">
        <f>LEFT(Table_clallam_Oversight_ActiveFunds[[#This Row],[Fund]],5)</f>
        <v>108-1</v>
      </c>
      <c r="G172">
        <f t="shared" si="9"/>
      </c>
      <c r="K172" t="str">
        <f t="shared" si="10"/>
        <v>144-1</v>
      </c>
      <c r="L172" t="s">
        <v>1198</v>
      </c>
      <c r="M172" s="30"/>
    </row>
    <row r="173" ht="15" customHeight="1" spans="1:13" x14ac:dyDescent="0.25">
      <c r="A173">
        <v>1</v>
      </c>
      <c r="B173" t="str">
        <f>LEFT(Table_clallam_Oversight_ActiveFunds[[#This Row],[Agency]],3)</f>
        <v>105</v>
      </c>
      <c r="C173" t="s">
        <v>1175</v>
      </c>
      <c r="D173" t="s">
        <v>1141</v>
      </c>
      <c r="E173" t="str">
        <f>LEFT(Table_clallam_Oversight_ActiveFunds[[#This Row],[Fund]],5)</f>
        <v>109-1</v>
      </c>
      <c r="G173">
        <f t="shared" si="9"/>
      </c>
      <c r="K173" t="str">
        <f t="shared" si="10"/>
        <v>145-6</v>
      </c>
      <c r="L173" t="s">
        <v>1199</v>
      </c>
      <c r="M173" s="30"/>
    </row>
    <row r="174" ht="15" customHeight="1" spans="1:13" x14ac:dyDescent="0.25">
      <c r="A174">
        <v>1</v>
      </c>
      <c r="B174" t="str">
        <f>LEFT(Table_clallam_Oversight_ActiveFunds[[#This Row],[Agency]],3)</f>
        <v>105</v>
      </c>
      <c r="C174" t="s">
        <v>1175</v>
      </c>
      <c r="D174" t="s">
        <v>723</v>
      </c>
      <c r="E174" t="str">
        <f>LEFT(Table_clallam_Oversight_ActiveFunds[[#This Row],[Fund]],5)</f>
        <v>218-1</v>
      </c>
      <c r="G174">
        <f t="shared" si="9"/>
      </c>
      <c r="K174" t="str">
        <f t="shared" si="10"/>
        <v>146-1</v>
      </c>
      <c r="L174" t="s">
        <v>1200</v>
      </c>
      <c r="M174" s="30"/>
    </row>
    <row r="175" ht="15" customHeight="1" spans="1:13" x14ac:dyDescent="0.25">
      <c r="A175">
        <v>1</v>
      </c>
      <c r="B175" t="str">
        <f>LEFT(Table_clallam_Oversight_ActiveFunds[[#This Row],[Agency]],3)</f>
        <v>107</v>
      </c>
      <c r="C175" t="s">
        <v>1201</v>
      </c>
      <c r="D175" t="s">
        <v>28</v>
      </c>
      <c r="E175" t="str">
        <f>LEFT(Table_clallam_Oversight_ActiveFunds[[#This Row],[Fund]],5)</f>
        <v>001-1</v>
      </c>
      <c r="G175">
        <f t="shared" si="9"/>
      </c>
      <c r="K175" t="str">
        <f t="shared" si="10"/>
        <v>148-6</v>
      </c>
      <c r="L175" t="s">
        <v>1202</v>
      </c>
      <c r="M175" s="30"/>
    </row>
    <row r="176" ht="15" customHeight="1" spans="1:13" x14ac:dyDescent="0.25">
      <c r="A176">
        <v>1</v>
      </c>
      <c r="B176" t="str">
        <f>LEFT(Table_clallam_Oversight_ActiveFunds[[#This Row],[Agency]],3)</f>
        <v>107</v>
      </c>
      <c r="C176" t="s">
        <v>1201</v>
      </c>
      <c r="D176" t="s">
        <v>144</v>
      </c>
      <c r="E176" t="str">
        <f>LEFT(Table_clallam_Oversight_ActiveFunds[[#This Row],[Fund]],5)</f>
        <v>001-2</v>
      </c>
      <c r="G176">
        <f t="shared" si="9"/>
      </c>
      <c r="K176" t="str">
        <f t="shared" si="10"/>
        <v>149-6</v>
      </c>
      <c r="L176" t="s">
        <v>1203</v>
      </c>
      <c r="M176" s="30"/>
    </row>
    <row r="177" ht="15" customHeight="1" spans="1:13" x14ac:dyDescent="0.25">
      <c r="A177">
        <v>1</v>
      </c>
      <c r="B177" t="str">
        <f>LEFT(Table_clallam_Oversight_ActiveFunds[[#This Row],[Agency]],3)</f>
        <v>107</v>
      </c>
      <c r="C177" t="s">
        <v>1201</v>
      </c>
      <c r="D177" t="s">
        <v>712</v>
      </c>
      <c r="E177" t="str">
        <f>LEFT(Table_clallam_Oversight_ActiveFunds[[#This Row],[Fund]],5)</f>
        <v>001-7</v>
      </c>
      <c r="G177">
        <f t="shared" si="9"/>
      </c>
      <c r="K177" t="str">
        <f t="shared" si="10"/>
        <v>14A-1</v>
      </c>
      <c r="L177" t="s">
        <v>1204</v>
      </c>
      <c r="M177" s="30"/>
    </row>
    <row r="178" ht="15" customHeight="1" spans="1:13" x14ac:dyDescent="0.25">
      <c r="A178">
        <v>1</v>
      </c>
      <c r="B178" t="str">
        <f>LEFT(Table_clallam_Oversight_ActiveFunds[[#This Row],[Agency]],3)</f>
        <v>107</v>
      </c>
      <c r="C178" t="s">
        <v>1201</v>
      </c>
      <c r="D178" t="s">
        <v>725</v>
      </c>
      <c r="E178" t="str">
        <f>LEFT(Table_clallam_Oversight_ActiveFunds[[#This Row],[Fund]],5)</f>
        <v>001-C</v>
      </c>
      <c r="G178">
        <f t="shared" si="9"/>
      </c>
      <c r="K178" t="str">
        <f t="shared" si="10"/>
        <v>14E-1</v>
      </c>
      <c r="L178" t="s">
        <v>1023</v>
      </c>
      <c r="M178" s="30"/>
    </row>
    <row r="179" ht="15" customHeight="1" spans="1:13" x14ac:dyDescent="0.25">
      <c r="A179">
        <v>1</v>
      </c>
      <c r="B179" t="str">
        <f>LEFT(Table_clallam_Oversight_ActiveFunds[[#This Row],[Agency]],3)</f>
        <v>107</v>
      </c>
      <c r="C179" t="s">
        <v>1201</v>
      </c>
      <c r="D179" t="s">
        <v>737</v>
      </c>
      <c r="E179" t="str">
        <f>LEFT(Table_clallam_Oversight_ActiveFunds[[#This Row],[Fund]],5)</f>
        <v>001-H</v>
      </c>
      <c r="G179">
        <f t="shared" si="9"/>
      </c>
      <c r="K179" t="str">
        <f t="shared" si="10"/>
        <v>14E-6</v>
      </c>
      <c r="L179" t="s">
        <v>1026</v>
      </c>
      <c r="M179" s="30"/>
    </row>
    <row r="180" ht="15" customHeight="1" spans="1:13" x14ac:dyDescent="0.25">
      <c r="A180">
        <v>1</v>
      </c>
      <c r="B180" t="str">
        <f>LEFT(Table_clallam_Oversight_ActiveFunds[[#This Row],[Agency]],3)</f>
        <v>107</v>
      </c>
      <c r="C180" t="s">
        <v>1201</v>
      </c>
      <c r="D180" t="s">
        <v>743</v>
      </c>
      <c r="E180" t="str">
        <f>LEFT(Table_clallam_Oversight_ActiveFunds[[#This Row],[Fund]],5)</f>
        <v>001-W</v>
      </c>
      <c r="G180">
        <f t="shared" si="9"/>
      </c>
      <c r="K180" t="str">
        <f t="shared" si="10"/>
        <v>14G-1</v>
      </c>
      <c r="L180" t="s">
        <v>1205</v>
      </c>
      <c r="M180" s="30"/>
    </row>
    <row r="181" ht="15" customHeight="1" spans="1:13" x14ac:dyDescent="0.25">
      <c r="A181">
        <v>1</v>
      </c>
      <c r="B181" t="str">
        <f>LEFT(Table_clallam_Oversight_ActiveFunds[[#This Row],[Agency]],3)</f>
        <v>107</v>
      </c>
      <c r="C181" t="s">
        <v>1201</v>
      </c>
      <c r="D181" t="s">
        <v>753</v>
      </c>
      <c r="E181" t="str">
        <f>LEFT(Table_clallam_Oversight_ActiveFunds[[#This Row],[Fund]],5)</f>
        <v>001-Y</v>
      </c>
      <c r="G181">
        <f t="shared" si="9"/>
      </c>
      <c r="K181" t="str">
        <f t="shared" si="10"/>
        <v>14H-1</v>
      </c>
      <c r="L181" t="s">
        <v>1132</v>
      </c>
      <c r="M181" s="30"/>
    </row>
    <row r="182" ht="15" customHeight="1" spans="1:13" x14ac:dyDescent="0.25">
      <c r="A182">
        <v>1</v>
      </c>
      <c r="B182" t="str">
        <f>LEFT(Table_clallam_Oversight_ActiveFunds[[#This Row],[Agency]],3)</f>
        <v>107</v>
      </c>
      <c r="C182" t="s">
        <v>1201</v>
      </c>
      <c r="D182" t="s">
        <v>758</v>
      </c>
      <c r="E182" t="str">
        <f>LEFT(Table_clallam_Oversight_ActiveFunds[[#This Row],[Fund]],5)</f>
        <v>001-Z</v>
      </c>
      <c r="G182">
        <f t="shared" si="9"/>
      </c>
      <c r="K182" t="str">
        <f t="shared" si="10"/>
        <v>14M-1</v>
      </c>
      <c r="L182" t="s">
        <v>1134</v>
      </c>
      <c r="M182" s="30"/>
    </row>
    <row r="183" ht="15" customHeight="1" spans="1:13" x14ac:dyDescent="0.25">
      <c r="A183">
        <v>1</v>
      </c>
      <c r="B183" t="str">
        <f>LEFT(Table_clallam_Oversight_ActiveFunds[[#This Row],[Agency]],3)</f>
        <v>107</v>
      </c>
      <c r="C183" t="s">
        <v>1201</v>
      </c>
      <c r="D183" t="s">
        <v>894</v>
      </c>
      <c r="E183" t="str">
        <f>LEFT(Table_clallam_Oversight_ActiveFunds[[#This Row],[Fund]],5)</f>
        <v>03C-1</v>
      </c>
      <c r="G183">
        <f t="shared" si="9"/>
      </c>
      <c r="K183" t="str">
        <f t="shared" si="10"/>
        <v>14P-6</v>
      </c>
      <c r="L183" t="s">
        <v>1206</v>
      </c>
      <c r="M183" s="30"/>
    </row>
    <row r="184" ht="15" customHeight="1" spans="1:13" x14ac:dyDescent="0.25">
      <c r="A184">
        <v>1</v>
      </c>
      <c r="B184" t="str">
        <f>LEFT(Table_clallam_Oversight_ActiveFunds[[#This Row],[Agency]],3)</f>
        <v>107</v>
      </c>
      <c r="C184" t="s">
        <v>1201</v>
      </c>
      <c r="D184" t="s">
        <v>992</v>
      </c>
      <c r="E184" t="str">
        <f>LEFT(Table_clallam_Oversight_ActiveFunds[[#This Row],[Fund]],5)</f>
        <v>05C-1</v>
      </c>
      <c r="G184">
        <f t="shared" si="9"/>
      </c>
      <c r="K184" t="str">
        <f t="shared" si="10"/>
        <v>14R-1</v>
      </c>
      <c r="L184" t="s">
        <v>1207</v>
      </c>
      <c r="M184" s="30"/>
    </row>
    <row r="185" ht="15" customHeight="1" spans="1:13" x14ac:dyDescent="0.25">
      <c r="A185">
        <v>1</v>
      </c>
      <c r="B185" t="str">
        <f>LEFT(Table_clallam_Oversight_ActiveFunds[[#This Row],[Agency]],3)</f>
        <v>107</v>
      </c>
      <c r="C185" t="s">
        <v>1201</v>
      </c>
      <c r="D185" t="s">
        <v>1084</v>
      </c>
      <c r="E185" t="str">
        <f>LEFT(Table_clallam_Oversight_ActiveFunds[[#This Row],[Fund]],5)</f>
        <v>08A-1</v>
      </c>
      <c r="G185">
        <f t="shared" si="9"/>
      </c>
      <c r="K185" t="str">
        <f t="shared" si="10"/>
        <v>14V-1</v>
      </c>
      <c r="L185" t="s">
        <v>1208</v>
      </c>
      <c r="M185" s="30"/>
    </row>
    <row r="186" ht="15" customHeight="1" spans="1:13" x14ac:dyDescent="0.25">
      <c r="A186">
        <v>1</v>
      </c>
      <c r="B186" t="str">
        <f>LEFT(Table_clallam_Oversight_ActiveFunds[[#This Row],[Agency]],3)</f>
        <v>107</v>
      </c>
      <c r="C186" t="s">
        <v>1201</v>
      </c>
      <c r="D186" t="s">
        <v>1087</v>
      </c>
      <c r="E186" t="str">
        <f>LEFT(Table_clallam_Oversight_ActiveFunds[[#This Row],[Fund]],5)</f>
        <v>08G-6</v>
      </c>
      <c r="G186">
        <f t="shared" si="9"/>
      </c>
      <c r="K186" t="str">
        <f t="shared" si="10"/>
        <v>14W-6</v>
      </c>
      <c r="L186" t="s">
        <v>1209</v>
      </c>
      <c r="M186" s="30"/>
    </row>
    <row r="187" ht="15" customHeight="1" spans="1:13" x14ac:dyDescent="0.25">
      <c r="A187">
        <v>1</v>
      </c>
      <c r="B187" t="str">
        <f>LEFT(Table_clallam_Oversight_ActiveFunds[[#This Row],[Agency]],3)</f>
        <v>107</v>
      </c>
      <c r="C187" t="s">
        <v>1201</v>
      </c>
      <c r="D187" t="s">
        <v>1092</v>
      </c>
      <c r="E187" t="str">
        <f>LEFT(Table_clallam_Oversight_ActiveFunds[[#This Row],[Fund]],5)</f>
        <v>08J-6</v>
      </c>
      <c r="G187">
        <f t="shared" si="9"/>
      </c>
      <c r="K187" t="str">
        <f t="shared" si="10"/>
        <v>150-1</v>
      </c>
      <c r="L187" t="s">
        <v>163</v>
      </c>
      <c r="M187" s="30"/>
    </row>
    <row r="188" ht="15" customHeight="1" spans="1:13" x14ac:dyDescent="0.25">
      <c r="A188">
        <v>1</v>
      </c>
      <c r="B188" t="str">
        <f>LEFT(Table_clallam_Oversight_ActiveFunds[[#This Row],[Agency]],3)</f>
        <v>107</v>
      </c>
      <c r="C188" t="s">
        <v>1201</v>
      </c>
      <c r="D188" t="s">
        <v>1095</v>
      </c>
      <c r="E188" t="str">
        <f>LEFT(Table_clallam_Oversight_ActiveFunds[[#This Row],[Fund]],5)</f>
        <v>08K-1</v>
      </c>
      <c r="G188">
        <f t="shared" si="9"/>
      </c>
      <c r="K188" t="str">
        <f t="shared" si="10"/>
        <v>153-1</v>
      </c>
      <c r="L188" t="s">
        <v>1210</v>
      </c>
      <c r="M188" s="30"/>
    </row>
    <row r="189" ht="15" customHeight="1" spans="1:13" x14ac:dyDescent="0.25">
      <c r="A189">
        <v>1</v>
      </c>
      <c r="B189" t="str">
        <f>LEFT(Table_clallam_Oversight_ActiveFunds[[#This Row],[Agency]],3)</f>
        <v>107</v>
      </c>
      <c r="C189" t="s">
        <v>1201</v>
      </c>
      <c r="D189" t="s">
        <v>1211</v>
      </c>
      <c r="E189" t="str">
        <f>LEFT(Table_clallam_Oversight_ActiveFunds[[#This Row],[Fund]],5)</f>
        <v>16W-1</v>
      </c>
      <c r="G189">
        <f t="shared" si="9"/>
      </c>
      <c r="K189" t="str">
        <f t="shared" si="10"/>
        <v>154-1</v>
      </c>
      <c r="L189" t="s">
        <v>1085</v>
      </c>
      <c r="M189" s="30"/>
    </row>
    <row r="190" ht="15" customHeight="1" spans="1:13" x14ac:dyDescent="0.25">
      <c r="A190">
        <v>1</v>
      </c>
      <c r="B190" t="str">
        <f>LEFT(Table_clallam_Oversight_ActiveFunds[[#This Row],[Agency]],3)</f>
        <v>107</v>
      </c>
      <c r="C190" t="s">
        <v>1201</v>
      </c>
      <c r="D190" t="s">
        <v>1212</v>
      </c>
      <c r="E190" t="str">
        <f>LEFT(Table_clallam_Oversight_ActiveFunds[[#This Row],[Fund]],5)</f>
        <v>172-6</v>
      </c>
      <c r="G190">
        <f t="shared" si="9"/>
      </c>
      <c r="K190" t="str">
        <f t="shared" si="10"/>
        <v>158-1</v>
      </c>
      <c r="L190" t="s">
        <v>1213</v>
      </c>
      <c r="M190" s="30"/>
    </row>
    <row r="191" ht="15" customHeight="1" spans="1:13" x14ac:dyDescent="0.25">
      <c r="A191">
        <v>1</v>
      </c>
      <c r="B191" t="str">
        <f>LEFT(Table_clallam_Oversight_ActiveFunds[[#This Row],[Agency]],3)</f>
        <v>107</v>
      </c>
      <c r="C191" t="s">
        <v>1201</v>
      </c>
      <c r="D191" t="s">
        <v>1214</v>
      </c>
      <c r="E191" t="str">
        <f>LEFT(Table_clallam_Oversight_ActiveFunds[[#This Row],[Fund]],5)</f>
        <v>17T-1</v>
      </c>
      <c r="G191">
        <f t="shared" si="9"/>
      </c>
      <c r="K191" t="str">
        <f t="shared" si="10"/>
        <v>159-6</v>
      </c>
      <c r="L191" t="s">
        <v>1215</v>
      </c>
      <c r="M191" s="30"/>
    </row>
    <row r="192" ht="15" customHeight="1" spans="1:13" x14ac:dyDescent="0.25">
      <c r="A192">
        <v>1</v>
      </c>
      <c r="B192" t="str">
        <f>LEFT(Table_clallam_Oversight_ActiveFunds[[#This Row],[Agency]],3)</f>
        <v>107</v>
      </c>
      <c r="C192" t="s">
        <v>1201</v>
      </c>
      <c r="D192" t="s">
        <v>1216</v>
      </c>
      <c r="E192" t="str">
        <f>LEFT(Table_clallam_Oversight_ActiveFunds[[#This Row],[Fund]],5)</f>
        <v>23L-6</v>
      </c>
      <c r="G192">
        <f t="shared" si="9"/>
      </c>
      <c r="K192" t="str">
        <f t="shared" si="10"/>
        <v>15M-1</v>
      </c>
      <c r="L192" t="s">
        <v>372</v>
      </c>
      <c r="M192" s="30"/>
    </row>
    <row r="193" ht="15" customHeight="1" spans="1:13" x14ac:dyDescent="0.25">
      <c r="A193">
        <v>1</v>
      </c>
      <c r="B193" t="str">
        <f>LEFT(Table_clallam_Oversight_ActiveFunds[[#This Row],[Agency]],3)</f>
        <v>107</v>
      </c>
      <c r="C193" t="s">
        <v>1201</v>
      </c>
      <c r="D193" t="s">
        <v>1217</v>
      </c>
      <c r="E193" t="str">
        <f>LEFT(Table_clallam_Oversight_ActiveFunds[[#This Row],[Fund]],5)</f>
        <v>24L-1</v>
      </c>
      <c r="G193">
        <f t="shared" si="9"/>
      </c>
      <c r="K193" t="str">
        <f t="shared" si="10"/>
        <v>15V-1</v>
      </c>
      <c r="L193" t="s">
        <v>1218</v>
      </c>
      <c r="M193" s="30"/>
    </row>
    <row r="194" ht="15" customHeight="1" spans="1:13" x14ac:dyDescent="0.25">
      <c r="A194">
        <v>1</v>
      </c>
      <c r="B194" t="str">
        <f>LEFT(Table_clallam_Oversight_ActiveFunds[[#This Row],[Agency]],3)</f>
        <v>107</v>
      </c>
      <c r="C194" t="s">
        <v>1201</v>
      </c>
      <c r="D194" t="s">
        <v>1219</v>
      </c>
      <c r="E194" t="str">
        <f>LEFT(Table_clallam_Oversight_ActiveFunds[[#This Row],[Fund]],5)</f>
        <v>24V-1</v>
      </c>
      <c r="G194">
        <f t="shared" si="9"/>
      </c>
      <c r="K194" t="str">
        <f t="shared" si="10"/>
        <v>15V-6</v>
      </c>
      <c r="L194" t="s">
        <v>1220</v>
      </c>
      <c r="M194" s="30"/>
    </row>
    <row r="195" ht="15" customHeight="1" spans="1:13" x14ac:dyDescent="0.25">
      <c r="A195">
        <v>1</v>
      </c>
      <c r="B195" t="str">
        <f>LEFT(Table_clallam_Oversight_ActiveFunds[[#This Row],[Agency]],3)</f>
        <v>107</v>
      </c>
      <c r="C195" t="s">
        <v>1201</v>
      </c>
      <c r="D195" t="s">
        <v>1221</v>
      </c>
      <c r="E195" t="str">
        <f>LEFT(Table_clallam_Oversight_ActiveFunds[[#This Row],[Fund]],5)</f>
        <v>25M-1</v>
      </c>
      <c r="G195">
        <f t="shared" si="9"/>
      </c>
      <c r="K195" t="str">
        <f t="shared" si="10"/>
        <v>160-1</v>
      </c>
      <c r="L195" t="s">
        <v>1222</v>
      </c>
      <c r="M195" s="30"/>
    </row>
    <row r="196" ht="15" customHeight="1" spans="1:13" x14ac:dyDescent="0.25">
      <c r="A196">
        <v>1</v>
      </c>
      <c r="B196" t="str">
        <f>LEFT(Table_clallam_Oversight_ActiveFunds[[#This Row],[Agency]],3)</f>
        <v>107</v>
      </c>
      <c r="C196" t="s">
        <v>1201</v>
      </c>
      <c r="D196" t="s">
        <v>1182</v>
      </c>
      <c r="E196" t="str">
        <f>LEFT(Table_clallam_Oversight_ActiveFunds[[#This Row],[Fund]],5)</f>
        <v>25N-1</v>
      </c>
      <c r="G196">
        <f t="shared" si="9"/>
      </c>
      <c r="K196" t="str">
        <f t="shared" si="10"/>
        <v>162-1</v>
      </c>
      <c r="L196" t="s">
        <v>1223</v>
      </c>
      <c r="M196" s="30"/>
    </row>
    <row r="197" ht="15" customHeight="1" spans="1:13" x14ac:dyDescent="0.25">
      <c r="A197">
        <v>1</v>
      </c>
      <c r="B197" t="str">
        <f>LEFT(Table_clallam_Oversight_ActiveFunds[[#This Row],[Agency]],3)</f>
        <v>107</v>
      </c>
      <c r="C197" t="s">
        <v>1201</v>
      </c>
      <c r="D197" t="s">
        <v>1153</v>
      </c>
      <c r="E197" t="str">
        <f>LEFT(Table_clallam_Oversight_ActiveFunds[[#This Row],[Fund]],5)</f>
        <v>315-1</v>
      </c>
      <c r="G197">
        <f t="shared" ref="G197:G260" si="11">LEFT(I197,3)</f>
      </c>
      <c r="K197" t="str">
        <f t="shared" ref="K197:K260" si="12">MID(L197,1,5)</f>
        <v>163-1</v>
      </c>
      <c r="L197" t="s">
        <v>1224</v>
      </c>
      <c r="M197" s="30"/>
    </row>
    <row r="198" ht="15" customHeight="1" spans="1:13" x14ac:dyDescent="0.25">
      <c r="A198">
        <v>1</v>
      </c>
      <c r="B198" t="str">
        <f>LEFT(Table_clallam_Oversight_ActiveFunds[[#This Row],[Agency]],3)</f>
        <v>107</v>
      </c>
      <c r="C198" t="s">
        <v>1201</v>
      </c>
      <c r="D198" t="s">
        <v>767</v>
      </c>
      <c r="E198" t="str">
        <f>LEFT(Table_clallam_Oversight_ActiveFunds[[#This Row],[Fund]],5)</f>
        <v>418-1</v>
      </c>
      <c r="G198">
        <f t="shared" si="11"/>
      </c>
      <c r="K198" t="str">
        <f t="shared" si="12"/>
        <v>167-1</v>
      </c>
      <c r="L198" t="s">
        <v>1225</v>
      </c>
      <c r="M198" s="30"/>
    </row>
    <row r="199" ht="15" customHeight="1" spans="1:13" x14ac:dyDescent="0.25">
      <c r="A199">
        <v>1</v>
      </c>
      <c r="B199" t="str">
        <f>LEFT(Table_clallam_Oversight_ActiveFunds[[#This Row],[Agency]],3)</f>
        <v>107</v>
      </c>
      <c r="C199" t="s">
        <v>1201</v>
      </c>
      <c r="D199" t="s">
        <v>1226</v>
      </c>
      <c r="E199" t="str">
        <f>LEFT(Table_clallam_Oversight_ActiveFunds[[#This Row],[Fund]],5)</f>
        <v>438-6</v>
      </c>
      <c r="G199">
        <f t="shared" si="11"/>
      </c>
      <c r="K199" t="str">
        <f t="shared" si="12"/>
        <v>169-6</v>
      </c>
      <c r="L199" t="s">
        <v>1227</v>
      </c>
      <c r="M199" s="30"/>
    </row>
    <row r="200" ht="15" customHeight="1" spans="1:13" x14ac:dyDescent="0.25">
      <c r="A200">
        <v>1</v>
      </c>
      <c r="B200" t="str">
        <f>LEFT(Table_clallam_Oversight_ActiveFunds[[#This Row],[Agency]],3)</f>
        <v>107</v>
      </c>
      <c r="C200" t="s">
        <v>1201</v>
      </c>
      <c r="D200" t="s">
        <v>1228</v>
      </c>
      <c r="E200" t="str">
        <f>LEFT(Table_clallam_Oversight_ActiveFunds[[#This Row],[Fund]],5)</f>
        <v>439-6</v>
      </c>
      <c r="G200">
        <f t="shared" si="11"/>
      </c>
      <c r="K200" t="str">
        <f t="shared" si="12"/>
        <v>16A-1</v>
      </c>
      <c r="L200" t="s">
        <v>844</v>
      </c>
      <c r="M200" s="30"/>
    </row>
    <row r="201" ht="15" customHeight="1" spans="1:13" x14ac:dyDescent="0.25">
      <c r="A201">
        <v>1</v>
      </c>
      <c r="B201" t="str">
        <f>LEFT(Table_clallam_Oversight_ActiveFunds[[#This Row],[Agency]],3)</f>
        <v>107</v>
      </c>
      <c r="C201" t="s">
        <v>1201</v>
      </c>
      <c r="D201" t="s">
        <v>1229</v>
      </c>
      <c r="E201" t="str">
        <f>LEFT(Table_clallam_Oversight_ActiveFunds[[#This Row],[Fund]],5)</f>
        <v>474-6</v>
      </c>
      <c r="G201">
        <f t="shared" si="11"/>
      </c>
      <c r="K201" t="str">
        <f t="shared" si="12"/>
        <v>16B-1</v>
      </c>
      <c r="L201" t="s">
        <v>1230</v>
      </c>
      <c r="M201" s="30"/>
    </row>
    <row r="202" ht="15" customHeight="1" spans="1:13" x14ac:dyDescent="0.25">
      <c r="A202">
        <v>1</v>
      </c>
      <c r="B202" t="str">
        <f>LEFT(Table_clallam_Oversight_ActiveFunds[[#This Row],[Agency]],3)</f>
        <v>107</v>
      </c>
      <c r="C202" t="s">
        <v>1201</v>
      </c>
      <c r="D202" t="s">
        <v>1231</v>
      </c>
      <c r="E202" t="str">
        <f>LEFT(Table_clallam_Oversight_ActiveFunds[[#This Row],[Fund]],5)</f>
        <v>475-6</v>
      </c>
      <c r="G202">
        <f t="shared" si="11"/>
      </c>
      <c r="K202" t="str">
        <f t="shared" si="12"/>
        <v>16B-6</v>
      </c>
      <c r="L202" t="s">
        <v>1232</v>
      </c>
      <c r="M202" s="30"/>
    </row>
    <row r="203" ht="15" customHeight="1" spans="1:13" x14ac:dyDescent="0.25">
      <c r="A203">
        <v>1</v>
      </c>
      <c r="B203" t="str">
        <f>LEFT(Table_clallam_Oversight_ActiveFunds[[#This Row],[Agency]],3)</f>
        <v>107</v>
      </c>
      <c r="C203" t="s">
        <v>1201</v>
      </c>
      <c r="D203" t="s">
        <v>771</v>
      </c>
      <c r="E203" t="str">
        <f>LEFT(Table_clallam_Oversight_ActiveFunds[[#This Row],[Fund]],5)</f>
        <v>492-1</v>
      </c>
      <c r="G203">
        <f t="shared" si="11"/>
      </c>
      <c r="K203" t="str">
        <f t="shared" si="12"/>
        <v>16G-6</v>
      </c>
      <c r="L203" t="s">
        <v>1233</v>
      </c>
      <c r="M203" s="30"/>
    </row>
    <row r="204" ht="15" customHeight="1" spans="1:13" x14ac:dyDescent="0.25">
      <c r="A204">
        <v>1</v>
      </c>
      <c r="B204" t="str">
        <f>LEFT(Table_clallam_Oversight_ActiveFunds[[#This Row],[Agency]],3)</f>
        <v>107</v>
      </c>
      <c r="C204" t="s">
        <v>1201</v>
      </c>
      <c r="D204" t="s">
        <v>1234</v>
      </c>
      <c r="E204" t="str">
        <f>LEFT(Table_clallam_Oversight_ActiveFunds[[#This Row],[Fund]],5)</f>
        <v>492-6</v>
      </c>
      <c r="G204">
        <f t="shared" si="11"/>
      </c>
      <c r="K204" t="str">
        <f t="shared" si="12"/>
        <v>16J-1</v>
      </c>
      <c r="L204" t="s">
        <v>1235</v>
      </c>
      <c r="M204" s="30"/>
    </row>
    <row r="205" ht="15" customHeight="1" spans="1:13" x14ac:dyDescent="0.25">
      <c r="A205">
        <v>1</v>
      </c>
      <c r="B205" t="str">
        <f>LEFT(Table_clallam_Oversight_ActiveFunds[[#This Row],[Agency]],3)</f>
        <v>107</v>
      </c>
      <c r="C205" t="s">
        <v>1201</v>
      </c>
      <c r="D205" t="s">
        <v>1236</v>
      </c>
      <c r="E205" t="str">
        <f>LEFT(Table_clallam_Oversight_ActiveFunds[[#This Row],[Fund]],5)</f>
        <v>493-6</v>
      </c>
      <c r="G205">
        <f t="shared" si="11"/>
      </c>
      <c r="K205" t="str">
        <f t="shared" si="12"/>
        <v>16L-6</v>
      </c>
      <c r="L205" t="s">
        <v>1237</v>
      </c>
      <c r="M205" s="30"/>
    </row>
    <row r="206" ht="15" customHeight="1" spans="1:13" x14ac:dyDescent="0.25">
      <c r="A206">
        <v>1</v>
      </c>
      <c r="B206" t="str">
        <f>LEFT(Table_clallam_Oversight_ActiveFunds[[#This Row],[Agency]],3)</f>
        <v>107</v>
      </c>
      <c r="C206" t="s">
        <v>1201</v>
      </c>
      <c r="D206" t="s">
        <v>1238</v>
      </c>
      <c r="E206" t="str">
        <f>LEFT(Table_clallam_Oversight_ActiveFunds[[#This Row],[Fund]],5)</f>
        <v>494-6</v>
      </c>
      <c r="G206">
        <f t="shared" si="11"/>
      </c>
      <c r="K206" t="str">
        <f t="shared" si="12"/>
        <v>16M-1</v>
      </c>
      <c r="L206" t="s">
        <v>1239</v>
      </c>
      <c r="M206" s="30"/>
    </row>
    <row r="207" ht="15" customHeight="1" spans="1:13" x14ac:dyDescent="0.25">
      <c r="A207">
        <v>1</v>
      </c>
      <c r="B207" t="str">
        <f>LEFT(Table_clallam_Oversight_ActiveFunds[[#This Row],[Agency]],3)</f>
        <v>107</v>
      </c>
      <c r="C207" t="s">
        <v>1201</v>
      </c>
      <c r="D207" t="s">
        <v>287</v>
      </c>
      <c r="E207" t="str">
        <f>LEFT(Table_clallam_Oversight_ActiveFunds[[#This Row],[Fund]],5)</f>
        <v>609-1</v>
      </c>
      <c r="G207">
        <f t="shared" si="11"/>
      </c>
      <c r="K207" t="str">
        <f t="shared" si="12"/>
        <v>16M-6</v>
      </c>
      <c r="L207" t="s">
        <v>1240</v>
      </c>
      <c r="M207" s="30"/>
    </row>
    <row r="208" ht="15" customHeight="1" spans="1:13" x14ac:dyDescent="0.25">
      <c r="A208">
        <v>1</v>
      </c>
      <c r="B208" t="str">
        <f>LEFT(Table_clallam_Oversight_ActiveFunds[[#This Row],[Agency]],3)</f>
        <v>107</v>
      </c>
      <c r="C208" t="s">
        <v>1201</v>
      </c>
      <c r="D208" t="s">
        <v>971</v>
      </c>
      <c r="E208" t="str">
        <f>LEFT(Table_clallam_Oversight_ActiveFunds[[#This Row],[Fund]],5)</f>
        <v>706-2</v>
      </c>
      <c r="G208">
        <f t="shared" si="11"/>
      </c>
      <c r="K208" t="str">
        <f t="shared" si="12"/>
        <v>16R-6</v>
      </c>
      <c r="L208" t="s">
        <v>1180</v>
      </c>
      <c r="M208" s="30"/>
    </row>
    <row r="209" ht="15" customHeight="1" spans="1:13" x14ac:dyDescent="0.25">
      <c r="A209">
        <v>1</v>
      </c>
      <c r="B209" t="str">
        <f>LEFT(Table_clallam_Oversight_ActiveFunds[[#This Row],[Agency]],3)</f>
        <v>107</v>
      </c>
      <c r="C209" t="s">
        <v>1201</v>
      </c>
      <c r="D209" t="s">
        <v>1241</v>
      </c>
      <c r="E209" t="str">
        <f>LEFT(Table_clallam_Oversight_ActiveFunds[[#This Row],[Fund]],5)</f>
        <v>721-6</v>
      </c>
      <c r="G209">
        <f t="shared" si="11"/>
      </c>
      <c r="K209" t="str">
        <f t="shared" si="12"/>
        <v>16T-6</v>
      </c>
      <c r="L209" t="s">
        <v>1242</v>
      </c>
      <c r="M209" s="30"/>
    </row>
    <row r="210" ht="15" customHeight="1" spans="1:13" x14ac:dyDescent="0.25">
      <c r="A210">
        <v>1</v>
      </c>
      <c r="B210" t="str">
        <f>LEFT(Table_clallam_Oversight_ActiveFunds[[#This Row],[Agency]],3)</f>
        <v>110</v>
      </c>
      <c r="C210" t="s">
        <v>1243</v>
      </c>
      <c r="D210" t="s">
        <v>1244</v>
      </c>
      <c r="E210" t="str">
        <f>LEFT(Table_clallam_Oversight_ActiveFunds[[#This Row],[Fund]],5)</f>
        <v>180-6</v>
      </c>
      <c r="G210">
        <f t="shared" si="11"/>
      </c>
      <c r="K210" t="str">
        <f t="shared" si="12"/>
        <v>16V-1</v>
      </c>
      <c r="L210" t="s">
        <v>1245</v>
      </c>
      <c r="M210" s="30"/>
    </row>
    <row r="211" ht="15" customHeight="1" spans="1:13" x14ac:dyDescent="0.25">
      <c r="A211">
        <v>1</v>
      </c>
      <c r="B211" t="str">
        <f>LEFT(Table_clallam_Oversight_ActiveFunds[[#This Row],[Agency]],3)</f>
        <v>110</v>
      </c>
      <c r="C211" t="s">
        <v>1243</v>
      </c>
      <c r="D211" t="s">
        <v>1246</v>
      </c>
      <c r="E211" t="str">
        <f>LEFT(Table_clallam_Oversight_ActiveFunds[[#This Row],[Fund]],5)</f>
        <v>484-1</v>
      </c>
      <c r="G211">
        <f t="shared" si="11"/>
      </c>
      <c r="K211" t="str">
        <f t="shared" si="12"/>
        <v>16W-1</v>
      </c>
      <c r="L211" t="s">
        <v>1211</v>
      </c>
      <c r="M211" s="30"/>
    </row>
    <row r="212" ht="15" customHeight="1" spans="1:13" x14ac:dyDescent="0.25">
      <c r="A212">
        <v>1</v>
      </c>
      <c r="B212" t="str">
        <f>LEFT(Table_clallam_Oversight_ActiveFunds[[#This Row],[Agency]],3)</f>
        <v>110</v>
      </c>
      <c r="C212" t="s">
        <v>1243</v>
      </c>
      <c r="D212" t="s">
        <v>1247</v>
      </c>
      <c r="E212" t="str">
        <f>LEFT(Table_clallam_Oversight_ActiveFunds[[#This Row],[Fund]],5)</f>
        <v>484-7</v>
      </c>
      <c r="G212">
        <f t="shared" si="11"/>
      </c>
      <c r="K212" t="str">
        <f t="shared" si="12"/>
        <v>172-6</v>
      </c>
      <c r="L212" t="s">
        <v>1212</v>
      </c>
      <c r="M212" s="30"/>
    </row>
    <row r="213" ht="15" customHeight="1" spans="1:13" x14ac:dyDescent="0.25">
      <c r="A213">
        <v>1</v>
      </c>
      <c r="B213" t="str">
        <f>LEFT(Table_clallam_Oversight_ActiveFunds[[#This Row],[Agency]],3)</f>
        <v>116</v>
      </c>
      <c r="C213" t="s">
        <v>1248</v>
      </c>
      <c r="D213" t="s">
        <v>1249</v>
      </c>
      <c r="E213" t="str">
        <f>LEFT(Table_clallam_Oversight_ActiveFunds[[#This Row],[Fund]],5)</f>
        <v>433-6</v>
      </c>
      <c r="G213">
        <f t="shared" si="11"/>
      </c>
      <c r="K213" t="str">
        <f t="shared" si="12"/>
        <v>176-1</v>
      </c>
      <c r="L213" t="s">
        <v>1250</v>
      </c>
      <c r="M213" s="30"/>
    </row>
    <row r="214" ht="15" customHeight="1" spans="1:13" x14ac:dyDescent="0.25">
      <c r="A214">
        <v>1</v>
      </c>
      <c r="B214" t="str">
        <f>LEFT(Table_clallam_Oversight_ActiveFunds[[#This Row],[Agency]],3)</f>
        <v>116</v>
      </c>
      <c r="C214" t="s">
        <v>1248</v>
      </c>
      <c r="D214" t="s">
        <v>1251</v>
      </c>
      <c r="E214" t="str">
        <f>LEFT(Table_clallam_Oversight_ActiveFunds[[#This Row],[Fund]],5)</f>
        <v>577-6</v>
      </c>
      <c r="G214">
        <f t="shared" si="11"/>
      </c>
      <c r="K214" t="str">
        <f t="shared" si="12"/>
        <v>17B-1</v>
      </c>
      <c r="L214" t="s">
        <v>1252</v>
      </c>
      <c r="M214" s="30"/>
    </row>
    <row r="215" ht="15" customHeight="1" spans="1:13" x14ac:dyDescent="0.25">
      <c r="A215">
        <v>1</v>
      </c>
      <c r="B215" t="str">
        <f>LEFT(Table_clallam_Oversight_ActiveFunds[[#This Row],[Agency]],3)</f>
        <v>116</v>
      </c>
      <c r="C215" t="s">
        <v>1248</v>
      </c>
      <c r="D215" t="s">
        <v>1173</v>
      </c>
      <c r="E215" t="str">
        <f>LEFT(Table_clallam_Oversight_ActiveFunds[[#This Row],[Fund]],5)</f>
        <v>578-1</v>
      </c>
      <c r="G215">
        <f t="shared" si="11"/>
      </c>
      <c r="K215" t="str">
        <f t="shared" si="12"/>
        <v>17B-2</v>
      </c>
      <c r="L215" t="s">
        <v>1253</v>
      </c>
      <c r="M215" s="30"/>
    </row>
    <row r="216" ht="15" customHeight="1" spans="1:13" x14ac:dyDescent="0.25">
      <c r="A216">
        <v>1</v>
      </c>
      <c r="B216" t="str">
        <f>LEFT(Table_clallam_Oversight_ActiveFunds[[#This Row],[Agency]],3)</f>
        <v>117</v>
      </c>
      <c r="C216" t="s">
        <v>1254</v>
      </c>
      <c r="D216" t="s">
        <v>1082</v>
      </c>
      <c r="E216" t="str">
        <f>LEFT(Table_clallam_Oversight_ActiveFunds[[#This Row],[Fund]],5)</f>
        <v>141-6</v>
      </c>
      <c r="G216">
        <f t="shared" si="11"/>
      </c>
      <c r="K216" t="str">
        <f t="shared" si="12"/>
        <v>17F-1</v>
      </c>
      <c r="L216" t="s">
        <v>1255</v>
      </c>
      <c r="M216" s="30"/>
    </row>
    <row r="217" ht="15" customHeight="1" spans="1:13" x14ac:dyDescent="0.25">
      <c r="A217">
        <v>1</v>
      </c>
      <c r="B217" t="str">
        <f>LEFT(Table_clallam_Oversight_ActiveFunds[[#This Row],[Agency]],3)</f>
        <v>117</v>
      </c>
      <c r="C217" t="s">
        <v>1254</v>
      </c>
      <c r="D217" t="s">
        <v>1256</v>
      </c>
      <c r="E217" t="str">
        <f>LEFT(Table_clallam_Oversight_ActiveFunds[[#This Row],[Fund]],5)</f>
        <v>226-6</v>
      </c>
      <c r="G217">
        <f t="shared" si="11"/>
      </c>
      <c r="K217" t="str">
        <f t="shared" si="12"/>
        <v>17L-6</v>
      </c>
      <c r="L217" t="s">
        <v>882</v>
      </c>
      <c r="M217" s="30"/>
    </row>
    <row r="218" ht="15" customHeight="1" spans="1:13" x14ac:dyDescent="0.25">
      <c r="A218">
        <v>1</v>
      </c>
      <c r="B218" t="str">
        <f>LEFT(Table_clallam_Oversight_ActiveFunds[[#This Row],[Agency]],3)</f>
        <v>117</v>
      </c>
      <c r="C218" t="s">
        <v>1254</v>
      </c>
      <c r="D218" t="s">
        <v>1257</v>
      </c>
      <c r="E218" t="str">
        <f>LEFT(Table_clallam_Oversight_ActiveFunds[[#This Row],[Fund]],5)</f>
        <v>884-6</v>
      </c>
      <c r="G218">
        <f t="shared" si="11"/>
      </c>
      <c r="K218" t="str">
        <f t="shared" si="12"/>
        <v>17M-6</v>
      </c>
      <c r="L218" t="s">
        <v>1258</v>
      </c>
      <c r="M218" s="30"/>
    </row>
    <row r="219" ht="15" customHeight="1" spans="1:13" x14ac:dyDescent="0.25">
      <c r="A219">
        <v>1</v>
      </c>
      <c r="B219" t="str">
        <f>LEFT(Table_clallam_Oversight_ActiveFunds[[#This Row],[Agency]],3)</f>
        <v>118</v>
      </c>
      <c r="C219" t="s">
        <v>1259</v>
      </c>
      <c r="D219" t="s">
        <v>28</v>
      </c>
      <c r="E219" t="str">
        <f>LEFT(Table_clallam_Oversight_ActiveFunds[[#This Row],[Fund]],5)</f>
        <v>001-1</v>
      </c>
      <c r="G219">
        <f t="shared" si="11"/>
      </c>
      <c r="K219" t="str">
        <f t="shared" si="12"/>
        <v>17N-1</v>
      </c>
      <c r="L219" t="s">
        <v>1260</v>
      </c>
      <c r="M219" s="30"/>
    </row>
    <row r="220" ht="15" customHeight="1" spans="1:13" x14ac:dyDescent="0.25">
      <c r="A220">
        <v>1</v>
      </c>
      <c r="B220" t="str">
        <f>LEFT(Table_clallam_Oversight_ActiveFunds[[#This Row],[Agency]],3)</f>
        <v>119</v>
      </c>
      <c r="C220" t="s">
        <v>1261</v>
      </c>
      <c r="D220" t="s">
        <v>28</v>
      </c>
      <c r="E220" t="str">
        <f>LEFT(Table_clallam_Oversight_ActiveFunds[[#This Row],[Fund]],5)</f>
        <v>001-1</v>
      </c>
      <c r="G220">
        <f t="shared" si="11"/>
      </c>
      <c r="K220" t="str">
        <f t="shared" si="12"/>
        <v>17P-1</v>
      </c>
      <c r="L220" t="s">
        <v>1262</v>
      </c>
      <c r="M220" s="30"/>
    </row>
    <row r="221" ht="15" customHeight="1" spans="1:13" x14ac:dyDescent="0.25">
      <c r="A221">
        <v>1</v>
      </c>
      <c r="B221" t="str">
        <f>LEFT(Table_clallam_Oversight_ActiveFunds[[#This Row],[Agency]],3)</f>
        <v>120</v>
      </c>
      <c r="C221" t="s">
        <v>1263</v>
      </c>
      <c r="D221" t="s">
        <v>28</v>
      </c>
      <c r="E221" t="str">
        <f>LEFT(Table_clallam_Oversight_ActiveFunds[[#This Row],[Fund]],5)</f>
        <v>001-1</v>
      </c>
      <c r="G221">
        <f t="shared" si="11"/>
      </c>
      <c r="K221" t="str">
        <f t="shared" si="12"/>
        <v>17R-1</v>
      </c>
      <c r="L221" t="s">
        <v>1264</v>
      </c>
      <c r="M221" s="30"/>
    </row>
    <row r="222" ht="15" customHeight="1" spans="1:13" x14ac:dyDescent="0.25">
      <c r="A222">
        <v>1</v>
      </c>
      <c r="B222" t="str">
        <f>LEFT(Table_clallam_Oversight_ActiveFunds[[#This Row],[Agency]],3)</f>
        <v>120</v>
      </c>
      <c r="C222" t="s">
        <v>1263</v>
      </c>
      <c r="D222" t="s">
        <v>144</v>
      </c>
      <c r="E222" t="str">
        <f>LEFT(Table_clallam_Oversight_ActiveFunds[[#This Row],[Fund]],5)</f>
        <v>001-2</v>
      </c>
      <c r="G222">
        <f t="shared" si="11"/>
      </c>
      <c r="K222" t="str">
        <f t="shared" si="12"/>
        <v>17T-1</v>
      </c>
      <c r="L222" t="s">
        <v>1214</v>
      </c>
      <c r="M222" s="30"/>
    </row>
    <row r="223" ht="15" customHeight="1" spans="1:13" x14ac:dyDescent="0.25">
      <c r="A223">
        <v>1</v>
      </c>
      <c r="B223" t="str">
        <f>LEFT(Table_clallam_Oversight_ActiveFunds[[#This Row],[Agency]],3)</f>
        <v>124</v>
      </c>
      <c r="C223" t="s">
        <v>1265</v>
      </c>
      <c r="D223" t="s">
        <v>28</v>
      </c>
      <c r="E223" t="str">
        <f>LEFT(Table_clallam_Oversight_ActiveFunds[[#This Row],[Fund]],5)</f>
        <v>001-1</v>
      </c>
      <c r="G223">
        <f t="shared" si="11"/>
      </c>
      <c r="K223" t="str">
        <f t="shared" si="12"/>
        <v>17W-1</v>
      </c>
      <c r="L223" t="s">
        <v>1266</v>
      </c>
      <c r="M223" s="30"/>
    </row>
    <row r="224" ht="15" customHeight="1" spans="1:13" x14ac:dyDescent="0.25">
      <c r="A224">
        <v>1</v>
      </c>
      <c r="B224" t="str">
        <f>LEFT(Table_clallam_Oversight_ActiveFunds[[#This Row],[Agency]],3)</f>
        <v>124</v>
      </c>
      <c r="C224" t="s">
        <v>1265</v>
      </c>
      <c r="D224" t="s">
        <v>776</v>
      </c>
      <c r="E224" t="str">
        <f>LEFT(Table_clallam_Oversight_ActiveFunds[[#This Row],[Fund]],5)</f>
        <v>600-1</v>
      </c>
      <c r="G224">
        <f t="shared" si="11"/>
      </c>
      <c r="K224" t="str">
        <f t="shared" si="12"/>
        <v>180-6</v>
      </c>
      <c r="L224" t="s">
        <v>1244</v>
      </c>
      <c r="M224" s="30"/>
    </row>
    <row r="225" ht="15" customHeight="1" spans="1:13" x14ac:dyDescent="0.25">
      <c r="A225">
        <v>1</v>
      </c>
      <c r="B225" t="str">
        <f>LEFT(Table_clallam_Oversight_ActiveFunds[[#This Row],[Agency]],3)</f>
        <v>124</v>
      </c>
      <c r="C225" t="s">
        <v>1265</v>
      </c>
      <c r="D225" t="s">
        <v>1267</v>
      </c>
      <c r="E225" t="str">
        <f>LEFT(Table_clallam_Oversight_ActiveFunds[[#This Row],[Fund]],5)</f>
        <v>600-6</v>
      </c>
      <c r="G225">
        <f t="shared" si="11"/>
      </c>
      <c r="K225" t="str">
        <f t="shared" si="12"/>
        <v>182-1</v>
      </c>
      <c r="L225" t="s">
        <v>1268</v>
      </c>
      <c r="M225" s="30"/>
    </row>
    <row r="226" ht="15" customHeight="1" spans="1:13" x14ac:dyDescent="0.25">
      <c r="A226">
        <v>1</v>
      </c>
      <c r="B226" t="str">
        <f>LEFT(Table_clallam_Oversight_ActiveFunds[[#This Row],[Agency]],3)</f>
        <v>124</v>
      </c>
      <c r="C226" t="s">
        <v>1265</v>
      </c>
      <c r="D226" t="s">
        <v>1269</v>
      </c>
      <c r="E226" t="str">
        <f>LEFT(Table_clallam_Oversight_ActiveFunds[[#This Row],[Fund]],5)</f>
        <v>874-6</v>
      </c>
      <c r="G226">
        <f t="shared" si="11"/>
      </c>
      <c r="K226" t="str">
        <f t="shared" si="12"/>
        <v>184-6</v>
      </c>
      <c r="L226" t="s">
        <v>1270</v>
      </c>
      <c r="M226" s="30"/>
    </row>
    <row r="227" ht="15" customHeight="1" spans="1:13" x14ac:dyDescent="0.25">
      <c r="A227">
        <v>1</v>
      </c>
      <c r="B227" t="str">
        <f>LEFT(Table_clallam_Oversight_ActiveFunds[[#This Row],[Agency]],3)</f>
        <v>124</v>
      </c>
      <c r="C227" t="s">
        <v>1265</v>
      </c>
      <c r="D227" t="s">
        <v>1271</v>
      </c>
      <c r="E227" t="str">
        <f>LEFT(Table_clallam_Oversight_ActiveFunds[[#This Row],[Fund]],5)</f>
        <v>888-6</v>
      </c>
      <c r="G227">
        <f t="shared" si="11"/>
      </c>
      <c r="K227" t="str">
        <f t="shared" si="12"/>
        <v>185-6</v>
      </c>
      <c r="L227" t="s">
        <v>1272</v>
      </c>
      <c r="M227" s="30"/>
    </row>
    <row r="228" ht="15" customHeight="1" spans="1:13" x14ac:dyDescent="0.25">
      <c r="A228">
        <v>1</v>
      </c>
      <c r="B228" t="str">
        <f>LEFT(Table_clallam_Oversight_ActiveFunds[[#This Row],[Agency]],3)</f>
        <v>124</v>
      </c>
      <c r="C228" t="s">
        <v>1265</v>
      </c>
      <c r="D228" t="s">
        <v>227</v>
      </c>
      <c r="E228" t="str">
        <f>LEFT(Table_clallam_Oversight_ActiveFunds[[#This Row],[Fund]],5)</f>
        <v>Non B</v>
      </c>
      <c r="G228">
        <f t="shared" si="11"/>
      </c>
      <c r="K228" t="str">
        <f t="shared" si="12"/>
        <v>186-1</v>
      </c>
      <c r="L228" t="s">
        <v>1273</v>
      </c>
      <c r="M228" s="30"/>
    </row>
    <row r="229" ht="15" customHeight="1" spans="1:13" x14ac:dyDescent="0.25">
      <c r="A229">
        <v>1</v>
      </c>
      <c r="B229" t="str">
        <f>LEFT(Table_clallam_Oversight_ActiveFunds[[#This Row],[Agency]],3)</f>
        <v>126</v>
      </c>
      <c r="C229" t="s">
        <v>1274</v>
      </c>
      <c r="D229" t="s">
        <v>866</v>
      </c>
      <c r="E229" t="str">
        <f>LEFT(Table_clallam_Oversight_ActiveFunds[[#This Row],[Fund]],5)</f>
        <v>031-1</v>
      </c>
      <c r="G229">
        <f t="shared" si="11"/>
      </c>
      <c r="K229" t="str">
        <f t="shared" si="12"/>
        <v>18E-6</v>
      </c>
      <c r="L229" t="s">
        <v>1275</v>
      </c>
      <c r="M229" s="30"/>
    </row>
    <row r="230" ht="15" customHeight="1" spans="1:13" x14ac:dyDescent="0.25">
      <c r="A230">
        <v>1</v>
      </c>
      <c r="B230" t="str">
        <f>LEFT(Table_clallam_Oversight_ActiveFunds[[#This Row],[Agency]],3)</f>
        <v>140</v>
      </c>
      <c r="C230" t="s">
        <v>1276</v>
      </c>
      <c r="D230" t="s">
        <v>28</v>
      </c>
      <c r="E230" t="str">
        <f>LEFT(Table_clallam_Oversight_ActiveFunds[[#This Row],[Fund]],5)</f>
        <v>001-1</v>
      </c>
      <c r="G230">
        <f t="shared" si="11"/>
      </c>
      <c r="K230" t="str">
        <f t="shared" si="12"/>
        <v>18J-1</v>
      </c>
      <c r="L230" t="s">
        <v>1277</v>
      </c>
      <c r="M230" s="30"/>
    </row>
    <row r="231" ht="15" customHeight="1" spans="1:13" x14ac:dyDescent="0.25">
      <c r="A231">
        <v>1</v>
      </c>
      <c r="B231" t="str">
        <f>LEFT(Table_clallam_Oversight_ActiveFunds[[#This Row],[Agency]],3)</f>
        <v>140</v>
      </c>
      <c r="C231" t="s">
        <v>1276</v>
      </c>
      <c r="D231" t="s">
        <v>859</v>
      </c>
      <c r="E231" t="str">
        <f>LEFT(Table_clallam_Oversight_ActiveFunds[[#This Row],[Fund]],5)</f>
        <v>02W-1</v>
      </c>
      <c r="G231">
        <f t="shared" si="11"/>
      </c>
      <c r="K231" t="str">
        <f t="shared" si="12"/>
        <v>18K-1</v>
      </c>
      <c r="L231" t="s">
        <v>1278</v>
      </c>
      <c r="M231" s="30"/>
    </row>
    <row r="232" ht="15" customHeight="1" spans="1:13" x14ac:dyDescent="0.25">
      <c r="A232">
        <v>1</v>
      </c>
      <c r="B232" t="str">
        <f>LEFT(Table_clallam_Oversight_ActiveFunds[[#This Row],[Agency]],3)</f>
        <v>140</v>
      </c>
      <c r="C232" t="s">
        <v>1276</v>
      </c>
      <c r="D232" t="s">
        <v>915</v>
      </c>
      <c r="E232" t="str">
        <f>LEFT(Table_clallam_Oversight_ActiveFunds[[#This Row],[Fund]],5)</f>
        <v>03N-1</v>
      </c>
      <c r="G232">
        <f t="shared" si="11"/>
      </c>
      <c r="K232" t="str">
        <f t="shared" si="12"/>
        <v>190-1</v>
      </c>
      <c r="L232" t="s">
        <v>1279</v>
      </c>
      <c r="M232" s="30"/>
    </row>
    <row r="233" ht="15" customHeight="1" spans="1:13" x14ac:dyDescent="0.25">
      <c r="A233">
        <v>1</v>
      </c>
      <c r="B233" t="str">
        <f>LEFT(Table_clallam_Oversight_ActiveFunds[[#This Row],[Agency]],3)</f>
        <v>140</v>
      </c>
      <c r="C233" t="s">
        <v>1276</v>
      </c>
      <c r="D233" t="s">
        <v>935</v>
      </c>
      <c r="E233" t="str">
        <f>LEFT(Table_clallam_Oversight_ActiveFunds[[#This Row],[Fund]],5)</f>
        <v>044-1</v>
      </c>
      <c r="G233">
        <f t="shared" si="11"/>
      </c>
      <c r="K233" t="str">
        <f t="shared" si="12"/>
        <v>190-6</v>
      </c>
      <c r="L233" t="s">
        <v>1280</v>
      </c>
      <c r="M233" s="30"/>
    </row>
    <row r="234" ht="15" customHeight="1" spans="1:13" x14ac:dyDescent="0.25">
      <c r="A234">
        <v>1</v>
      </c>
      <c r="B234" t="str">
        <f>LEFT(Table_clallam_Oversight_ActiveFunds[[#This Row],[Agency]],3)</f>
        <v>140</v>
      </c>
      <c r="C234" t="s">
        <v>1276</v>
      </c>
      <c r="D234" t="s">
        <v>1281</v>
      </c>
      <c r="E234" t="str">
        <f>LEFT(Table_clallam_Oversight_ActiveFunds[[#This Row],[Fund]],5)</f>
        <v>196-6</v>
      </c>
      <c r="G234">
        <f t="shared" si="11"/>
      </c>
      <c r="K234" t="str">
        <f t="shared" si="12"/>
        <v>193-1</v>
      </c>
      <c r="L234" t="s">
        <v>1282</v>
      </c>
      <c r="M234" s="30"/>
    </row>
    <row r="235" ht="15" customHeight="1" spans="1:13" x14ac:dyDescent="0.25">
      <c r="A235">
        <v>1</v>
      </c>
      <c r="B235" t="str">
        <f>LEFT(Table_clallam_Oversight_ActiveFunds[[#This Row],[Agency]],3)</f>
        <v>140</v>
      </c>
      <c r="C235" t="s">
        <v>1276</v>
      </c>
      <c r="D235" t="s">
        <v>1283</v>
      </c>
      <c r="E235" t="str">
        <f>LEFT(Table_clallam_Oversight_ActiveFunds[[#This Row],[Fund]],5)</f>
        <v>23P-1</v>
      </c>
      <c r="G235">
        <f t="shared" si="11"/>
      </c>
      <c r="K235" t="str">
        <f t="shared" si="12"/>
        <v>193-6</v>
      </c>
      <c r="L235" t="s">
        <v>1284</v>
      </c>
      <c r="M235" s="30"/>
    </row>
    <row r="236" ht="15" customHeight="1" spans="1:13" x14ac:dyDescent="0.25">
      <c r="A236">
        <v>1</v>
      </c>
      <c r="B236" t="str">
        <f>LEFT(Table_clallam_Oversight_ActiveFunds[[#This Row],[Agency]],3)</f>
        <v>140</v>
      </c>
      <c r="C236" t="s">
        <v>1276</v>
      </c>
      <c r="D236" t="s">
        <v>1285</v>
      </c>
      <c r="E236" t="str">
        <f>LEFT(Table_clallam_Oversight_ActiveFunds[[#This Row],[Fund]],5)</f>
        <v>300-1</v>
      </c>
      <c r="G236">
        <f t="shared" si="11"/>
      </c>
      <c r="K236" t="str">
        <f t="shared" si="12"/>
        <v>196-6</v>
      </c>
      <c r="L236" t="s">
        <v>1281</v>
      </c>
      <c r="M236" s="30"/>
    </row>
    <row r="237" ht="15" customHeight="1" spans="1:13" x14ac:dyDescent="0.25">
      <c r="A237">
        <v>1</v>
      </c>
      <c r="B237" t="str">
        <f>LEFT(Table_clallam_Oversight_ActiveFunds[[#This Row],[Agency]],3)</f>
        <v>142</v>
      </c>
      <c r="C237" t="s">
        <v>1286</v>
      </c>
      <c r="D237" t="s">
        <v>28</v>
      </c>
      <c r="E237" t="str">
        <f>LEFT(Table_clallam_Oversight_ActiveFunds[[#This Row],[Fund]],5)</f>
        <v>001-1</v>
      </c>
      <c r="G237">
        <f t="shared" si="11"/>
      </c>
      <c r="K237" t="str">
        <f t="shared" si="12"/>
        <v>197-6</v>
      </c>
      <c r="L237" t="s">
        <v>808</v>
      </c>
      <c r="M237" s="30"/>
    </row>
    <row r="238" ht="15" customHeight="1" spans="1:13" x14ac:dyDescent="0.25">
      <c r="A238">
        <v>1</v>
      </c>
      <c r="B238" t="str">
        <f>LEFT(Table_clallam_Oversight_ActiveFunds[[#This Row],[Agency]],3)</f>
        <v>147</v>
      </c>
      <c r="C238" t="s">
        <v>1287</v>
      </c>
      <c r="D238" t="s">
        <v>28</v>
      </c>
      <c r="E238" t="str">
        <f>LEFT(Table_clallam_Oversight_ActiveFunds[[#This Row],[Fund]],5)</f>
        <v>001-1</v>
      </c>
      <c r="G238">
        <f t="shared" si="11"/>
      </c>
      <c r="K238" t="str">
        <f t="shared" si="12"/>
        <v>198-1</v>
      </c>
      <c r="L238" t="s">
        <v>1288</v>
      </c>
      <c r="M238" s="30"/>
    </row>
    <row r="239" ht="15" customHeight="1" spans="1:13" x14ac:dyDescent="0.25">
      <c r="A239">
        <v>1</v>
      </c>
      <c r="B239" t="str">
        <f>LEFT(Table_clallam_Oversight_ActiveFunds[[#This Row],[Agency]],3)</f>
        <v>147</v>
      </c>
      <c r="C239" t="s">
        <v>1287</v>
      </c>
      <c r="D239" t="s">
        <v>1289</v>
      </c>
      <c r="E239" t="str">
        <f>LEFT(Table_clallam_Oversight_ActiveFunds[[#This Row],[Fund]],5)</f>
        <v>453-1</v>
      </c>
      <c r="G239">
        <f t="shared" si="11"/>
      </c>
      <c r="K239" t="str">
        <f t="shared" si="12"/>
        <v>198-6</v>
      </c>
      <c r="L239" t="s">
        <v>1290</v>
      </c>
      <c r="M239" s="30"/>
    </row>
    <row r="240" ht="15" customHeight="1" spans="1:13" x14ac:dyDescent="0.25">
      <c r="A240">
        <v>1</v>
      </c>
      <c r="B240" t="str">
        <f>LEFT(Table_clallam_Oversight_ActiveFunds[[#This Row],[Agency]],3)</f>
        <v>147</v>
      </c>
      <c r="C240" t="s">
        <v>1287</v>
      </c>
      <c r="D240" t="s">
        <v>699</v>
      </c>
      <c r="E240" t="str">
        <f>LEFT(Table_clallam_Oversight_ActiveFunds[[#This Row],[Fund]],5)</f>
        <v>108-1</v>
      </c>
      <c r="G240">
        <f t="shared" si="11"/>
      </c>
      <c r="K240" t="str">
        <f t="shared" si="12"/>
        <v>199-1</v>
      </c>
      <c r="L240" t="s">
        <v>1291</v>
      </c>
      <c r="M240" s="30"/>
    </row>
    <row r="241" ht="15" customHeight="1" spans="1:13" x14ac:dyDescent="0.25">
      <c r="A241">
        <v>1</v>
      </c>
      <c r="B241" t="str">
        <f>LEFT(Table_clallam_Oversight_ActiveFunds[[#This Row],[Agency]],3)</f>
        <v>160</v>
      </c>
      <c r="C241" t="s">
        <v>1292</v>
      </c>
      <c r="D241" t="s">
        <v>144</v>
      </c>
      <c r="E241" t="str">
        <f>LEFT(Table_clallam_Oversight_ActiveFunds[[#This Row],[Fund]],5)</f>
        <v>001-2</v>
      </c>
      <c r="G241">
        <f t="shared" si="11"/>
      </c>
      <c r="K241" t="str">
        <f t="shared" si="12"/>
        <v>19A-1</v>
      </c>
      <c r="L241" t="s">
        <v>1090</v>
      </c>
      <c r="M241" s="30"/>
    </row>
    <row r="242" ht="15" customHeight="1" spans="1:13" x14ac:dyDescent="0.25">
      <c r="A242">
        <v>1</v>
      </c>
      <c r="B242" t="str">
        <f>LEFT(Table_clallam_Oversight_ActiveFunds[[#This Row],[Agency]],3)</f>
        <v>160</v>
      </c>
      <c r="C242" t="s">
        <v>1292</v>
      </c>
      <c r="D242" t="s">
        <v>1196</v>
      </c>
      <c r="E242" t="str">
        <f>LEFT(Table_clallam_Oversight_ActiveFunds[[#This Row],[Fund]],5)</f>
        <v>138-1</v>
      </c>
      <c r="G242">
        <f t="shared" si="11"/>
      </c>
      <c r="K242" t="str">
        <f t="shared" si="12"/>
        <v>19B-6</v>
      </c>
      <c r="L242" t="s">
        <v>1293</v>
      </c>
      <c r="M242" s="30"/>
    </row>
    <row r="243" ht="15" customHeight="1" spans="1:13" x14ac:dyDescent="0.25">
      <c r="A243">
        <v>1</v>
      </c>
      <c r="B243" t="str">
        <f>LEFT(Table_clallam_Oversight_ActiveFunds[[#This Row],[Agency]],3)</f>
        <v>160</v>
      </c>
      <c r="C243" t="s">
        <v>1292</v>
      </c>
      <c r="D243" t="s">
        <v>1294</v>
      </c>
      <c r="E243" t="str">
        <f>LEFT(Table_clallam_Oversight_ActiveFunds[[#This Row],[Fund]],5)</f>
        <v>24P-1</v>
      </c>
      <c r="G243">
        <f t="shared" si="11"/>
      </c>
      <c r="K243" t="str">
        <f t="shared" si="12"/>
        <v>19C-1</v>
      </c>
      <c r="L243" t="s">
        <v>1295</v>
      </c>
      <c r="M243" s="30"/>
    </row>
    <row r="244" ht="15" customHeight="1" spans="1:13" x14ac:dyDescent="0.25">
      <c r="A244">
        <v>1</v>
      </c>
      <c r="B244" t="str">
        <f>LEFT(Table_clallam_Oversight_ActiveFunds[[#This Row],[Agency]],3)</f>
        <v>163</v>
      </c>
      <c r="C244" t="s">
        <v>1296</v>
      </c>
      <c r="D244" t="s">
        <v>28</v>
      </c>
      <c r="E244" t="str">
        <f>LEFT(Table_clallam_Oversight_ActiveFunds[[#This Row],[Fund]],5)</f>
        <v>001-1</v>
      </c>
      <c r="G244">
        <f t="shared" si="11"/>
      </c>
      <c r="K244" t="str">
        <f t="shared" si="12"/>
        <v>19H-6</v>
      </c>
      <c r="L244" t="s">
        <v>1297</v>
      </c>
      <c r="M244" s="30"/>
    </row>
    <row r="245" ht="15" customHeight="1" spans="1:13" x14ac:dyDescent="0.25">
      <c r="A245">
        <v>1</v>
      </c>
      <c r="B245" t="str">
        <f>LEFT(Table_clallam_Oversight_ActiveFunds[[#This Row],[Agency]],3)</f>
        <v>163</v>
      </c>
      <c r="C245" t="s">
        <v>1296</v>
      </c>
      <c r="D245" t="s">
        <v>1298</v>
      </c>
      <c r="E245" t="str">
        <f>LEFT(Table_clallam_Oversight_ActiveFunds[[#This Row],[Fund]],5)</f>
        <v>458-1</v>
      </c>
      <c r="G245">
        <f t="shared" si="11"/>
      </c>
      <c r="K245" t="str">
        <f t="shared" si="12"/>
        <v>19J-6</v>
      </c>
      <c r="L245" t="s">
        <v>1299</v>
      </c>
      <c r="M245" s="30"/>
    </row>
    <row r="246" ht="15" customHeight="1" spans="1:13" x14ac:dyDescent="0.25">
      <c r="A246">
        <v>1</v>
      </c>
      <c r="B246" t="str">
        <f>LEFT(Table_clallam_Oversight_ActiveFunds[[#This Row],[Agency]],3)</f>
        <v>163</v>
      </c>
      <c r="C246" t="s">
        <v>1296</v>
      </c>
      <c r="D246" t="s">
        <v>1300</v>
      </c>
      <c r="E246" t="str">
        <f>LEFT(Table_clallam_Oversight_ActiveFunds[[#This Row],[Fund]],5)</f>
        <v>458-6</v>
      </c>
      <c r="G246">
        <f t="shared" si="11"/>
      </c>
      <c r="K246" t="str">
        <f t="shared" si="12"/>
        <v>19L-1</v>
      </c>
      <c r="L246" t="s">
        <v>1301</v>
      </c>
      <c r="M246" s="30"/>
    </row>
    <row r="247" ht="15" customHeight="1" spans="1:13" x14ac:dyDescent="0.25">
      <c r="A247">
        <v>1</v>
      </c>
      <c r="B247" t="str">
        <f>LEFT(Table_clallam_Oversight_ActiveFunds[[#This Row],[Agency]],3)</f>
        <v>165</v>
      </c>
      <c r="C247" t="s">
        <v>1302</v>
      </c>
      <c r="D247" t="s">
        <v>837</v>
      </c>
      <c r="E247" t="str">
        <f>LEFT(Table_clallam_Oversight_ActiveFunds[[#This Row],[Fund]],5)</f>
        <v>02J-1</v>
      </c>
      <c r="G247">
        <f t="shared" si="11"/>
      </c>
      <c r="K247" t="str">
        <f t="shared" si="12"/>
        <v>19P-1</v>
      </c>
      <c r="L247" t="s">
        <v>1093</v>
      </c>
      <c r="M247" s="30"/>
    </row>
    <row r="248" ht="15" customHeight="1" spans="1:13" x14ac:dyDescent="0.25">
      <c r="A248">
        <v>1</v>
      </c>
      <c r="B248" t="str">
        <f>LEFT(Table_clallam_Oversight_ActiveFunds[[#This Row],[Agency]],3)</f>
        <v>166</v>
      </c>
      <c r="C248" t="s">
        <v>1303</v>
      </c>
      <c r="D248" t="s">
        <v>809</v>
      </c>
      <c r="E248" t="str">
        <f>LEFT(Table_clallam_Oversight_ActiveFunds[[#This Row],[Fund]],5)</f>
        <v>024-1</v>
      </c>
      <c r="G248">
        <f t="shared" si="11"/>
      </c>
      <c r="K248" t="str">
        <f t="shared" si="12"/>
        <v>19T-1</v>
      </c>
      <c r="L248" t="s">
        <v>1304</v>
      </c>
      <c r="M248" s="30"/>
    </row>
    <row r="249" ht="15" customHeight="1" spans="1:13" x14ac:dyDescent="0.25">
      <c r="A249">
        <v>1</v>
      </c>
      <c r="B249" t="str">
        <f>LEFT(Table_clallam_Oversight_ActiveFunds[[#This Row],[Agency]],3)</f>
        <v>167</v>
      </c>
      <c r="C249" t="s">
        <v>1305</v>
      </c>
      <c r="D249" t="s">
        <v>841</v>
      </c>
      <c r="E249" t="str">
        <f>LEFT(Table_clallam_Oversight_ActiveFunds[[#This Row],[Fund]],5)</f>
        <v>02K-1</v>
      </c>
      <c r="G249">
        <f t="shared" si="11"/>
      </c>
      <c r="K249" t="str">
        <f t="shared" si="12"/>
        <v>19V-1</v>
      </c>
      <c r="L249" t="s">
        <v>1136</v>
      </c>
      <c r="M249" s="30"/>
    </row>
    <row r="250" ht="15" customHeight="1" spans="1:13" x14ac:dyDescent="0.25">
      <c r="A250">
        <v>1</v>
      </c>
      <c r="B250" t="str">
        <f>LEFT(Table_clallam_Oversight_ActiveFunds[[#This Row],[Agency]],3)</f>
        <v>179</v>
      </c>
      <c r="C250" t="s">
        <v>1306</v>
      </c>
      <c r="D250" t="s">
        <v>28</v>
      </c>
      <c r="E250" t="str">
        <f>LEFT(Table_clallam_Oversight_ActiveFunds[[#This Row],[Fund]],5)</f>
        <v>001-1</v>
      </c>
      <c r="G250">
        <f t="shared" si="11"/>
      </c>
      <c r="K250" t="str">
        <f t="shared" si="12"/>
        <v>19W-6</v>
      </c>
      <c r="L250" t="s">
        <v>1307</v>
      </c>
      <c r="M250" s="30"/>
    </row>
    <row r="251" ht="15" customHeight="1" spans="1:13" x14ac:dyDescent="0.25">
      <c r="A251">
        <v>1</v>
      </c>
      <c r="B251" t="str">
        <f>LEFT(Table_clallam_Oversight_ActiveFunds[[#This Row],[Agency]],3)</f>
        <v>179</v>
      </c>
      <c r="C251" t="s">
        <v>1306</v>
      </c>
      <c r="D251" t="s">
        <v>712</v>
      </c>
      <c r="E251" t="str">
        <f>LEFT(Table_clallam_Oversight_ActiveFunds[[#This Row],[Fund]],5)</f>
        <v>001-7</v>
      </c>
      <c r="G251">
        <f t="shared" si="11"/>
      </c>
      <c r="K251" t="str">
        <f t="shared" si="12"/>
        <v>200-2</v>
      </c>
      <c r="L251" t="s">
        <v>1308</v>
      </c>
      <c r="M251" s="30"/>
    </row>
    <row r="252" ht="15" customHeight="1" spans="1:13" x14ac:dyDescent="0.25">
      <c r="A252">
        <v>1</v>
      </c>
      <c r="B252" t="str">
        <f>LEFT(Table_clallam_Oversight_ActiveFunds[[#This Row],[Agency]],3)</f>
        <v>179</v>
      </c>
      <c r="C252" t="s">
        <v>1306</v>
      </c>
      <c r="D252" t="s">
        <v>944</v>
      </c>
      <c r="E252" t="str">
        <f>LEFT(Table_clallam_Oversight_ActiveFunds[[#This Row],[Fund]],5)</f>
        <v>045-6</v>
      </c>
      <c r="G252">
        <f t="shared" si="11"/>
      </c>
      <c r="K252" t="str">
        <f t="shared" si="12"/>
        <v>201-1</v>
      </c>
      <c r="L252" t="s">
        <v>351</v>
      </c>
      <c r="M252" s="30"/>
    </row>
    <row r="253" ht="15" customHeight="1" spans="1:13" x14ac:dyDescent="0.25">
      <c r="A253">
        <v>1</v>
      </c>
      <c r="B253" t="str">
        <f>LEFT(Table_clallam_Oversight_ActiveFunds[[#This Row],[Agency]],3)</f>
        <v>179</v>
      </c>
      <c r="C253" t="s">
        <v>1306</v>
      </c>
      <c r="D253" t="s">
        <v>1075</v>
      </c>
      <c r="E253" t="str">
        <f>LEFT(Table_clallam_Oversight_ActiveFunds[[#This Row],[Fund]],5)</f>
        <v>084-1</v>
      </c>
      <c r="G253">
        <f t="shared" si="11"/>
      </c>
      <c r="K253" t="str">
        <f t="shared" si="12"/>
        <v>202-1</v>
      </c>
      <c r="L253" t="s">
        <v>947</v>
      </c>
      <c r="M253" s="30"/>
    </row>
    <row r="254" ht="15" customHeight="1" spans="1:13" x14ac:dyDescent="0.25">
      <c r="A254">
        <v>1</v>
      </c>
      <c r="B254" t="str">
        <f>LEFT(Table_clallam_Oversight_ActiveFunds[[#This Row],[Agency]],3)</f>
        <v>179</v>
      </c>
      <c r="C254" t="s">
        <v>1306</v>
      </c>
      <c r="D254" t="s">
        <v>1309</v>
      </c>
      <c r="E254" t="str">
        <f>LEFT(Table_clallam_Oversight_ActiveFunds[[#This Row],[Fund]],5)</f>
        <v>422-6</v>
      </c>
      <c r="G254">
        <f t="shared" si="11"/>
      </c>
      <c r="K254" t="str">
        <f t="shared" si="12"/>
        <v>204-1</v>
      </c>
      <c r="L254" t="s">
        <v>1310</v>
      </c>
      <c r="M254" s="30"/>
    </row>
    <row r="255" ht="15" customHeight="1" spans="1:13" x14ac:dyDescent="0.25">
      <c r="A255">
        <v>1</v>
      </c>
      <c r="B255" t="str">
        <f>LEFT(Table_clallam_Oversight_ActiveFunds[[#This Row],[Agency]],3)</f>
        <v>179</v>
      </c>
      <c r="C255" t="s">
        <v>1306</v>
      </c>
      <c r="D255" t="s">
        <v>1311</v>
      </c>
      <c r="E255" t="str">
        <f>LEFT(Table_clallam_Oversight_ActiveFunds[[#This Row],[Fund]],5)</f>
        <v>546-6</v>
      </c>
      <c r="G255">
        <f t="shared" si="11"/>
      </c>
      <c r="K255" t="str">
        <f t="shared" si="12"/>
        <v>205-6</v>
      </c>
      <c r="L255" t="s">
        <v>1138</v>
      </c>
      <c r="M255" s="30"/>
    </row>
    <row r="256" ht="15" customHeight="1" spans="1:13" x14ac:dyDescent="0.25">
      <c r="A256">
        <v>1</v>
      </c>
      <c r="B256" t="str">
        <f>LEFT(Table_clallam_Oversight_ActiveFunds[[#This Row],[Agency]],3)</f>
        <v>179</v>
      </c>
      <c r="C256" t="s">
        <v>1306</v>
      </c>
      <c r="D256" t="s">
        <v>1312</v>
      </c>
      <c r="E256" t="str">
        <f>LEFT(Table_clallam_Oversight_ActiveFunds[[#This Row],[Fund]],5)</f>
        <v>547-6</v>
      </c>
      <c r="G256">
        <f t="shared" si="11"/>
      </c>
      <c r="K256" t="str">
        <f t="shared" si="12"/>
        <v>206-6</v>
      </c>
      <c r="L256" t="s">
        <v>1313</v>
      </c>
      <c r="M256" s="30"/>
    </row>
    <row r="257" ht="15" customHeight="1" spans="1:13" x14ac:dyDescent="0.25">
      <c r="A257">
        <v>1</v>
      </c>
      <c r="B257" t="str">
        <f>LEFT(Table_clallam_Oversight_ActiveFunds[[#This Row],[Agency]],3)</f>
        <v>185</v>
      </c>
      <c r="C257" t="s">
        <v>1314</v>
      </c>
      <c r="D257" t="s">
        <v>1227</v>
      </c>
      <c r="E257" t="str">
        <f>LEFT(Table_clallam_Oversight_ActiveFunds[[#This Row],[Fund]],5)</f>
        <v>169-6</v>
      </c>
      <c r="G257">
        <f t="shared" si="11"/>
      </c>
      <c r="K257" t="str">
        <f t="shared" si="12"/>
        <v>207-1</v>
      </c>
      <c r="L257" t="s">
        <v>1315</v>
      </c>
      <c r="M257" s="30"/>
    </row>
    <row r="258" ht="15" customHeight="1" spans="1:13" x14ac:dyDescent="0.25">
      <c r="A258">
        <v>1</v>
      </c>
      <c r="B258" t="str">
        <f>LEFT(Table_clallam_Oversight_ActiveFunds[[#This Row],[Agency]],3)</f>
        <v>185</v>
      </c>
      <c r="C258" t="s">
        <v>1314</v>
      </c>
      <c r="D258" t="s">
        <v>1316</v>
      </c>
      <c r="E258" t="str">
        <f>LEFT(Table_clallam_Oversight_ActiveFunds[[#This Row],[Fund]],5)</f>
        <v>485-6</v>
      </c>
      <c r="G258">
        <f t="shared" si="11"/>
      </c>
      <c r="K258" t="str">
        <f t="shared" si="12"/>
        <v>209-6</v>
      </c>
      <c r="L258" t="s">
        <v>1317</v>
      </c>
      <c r="M258" s="30"/>
    </row>
    <row r="259" ht="15" customHeight="1" spans="1:13" x14ac:dyDescent="0.25">
      <c r="A259">
        <v>1</v>
      </c>
      <c r="B259" t="str">
        <f>LEFT(Table_clallam_Oversight_ActiveFunds[[#This Row],[Agency]],3)</f>
        <v>185</v>
      </c>
      <c r="C259" t="s">
        <v>1314</v>
      </c>
      <c r="D259" t="s">
        <v>1318</v>
      </c>
      <c r="E259" t="str">
        <f>LEFT(Table_clallam_Oversight_ActiveFunds[[#This Row],[Fund]],5)</f>
        <v>497-6</v>
      </c>
      <c r="G259">
        <f t="shared" si="11"/>
      </c>
      <c r="K259" t="str">
        <f t="shared" si="12"/>
        <v>20E-1</v>
      </c>
      <c r="L259" t="s">
        <v>1319</v>
      </c>
      <c r="M259" s="30"/>
    </row>
    <row r="260" ht="15" customHeight="1" spans="1:13" x14ac:dyDescent="0.25">
      <c r="A260">
        <v>1</v>
      </c>
      <c r="B260" t="str">
        <f>LEFT(Table_clallam_Oversight_ActiveFunds[[#This Row],[Agency]],3)</f>
        <v>190</v>
      </c>
      <c r="C260" t="s">
        <v>1320</v>
      </c>
      <c r="D260" t="s">
        <v>1224</v>
      </c>
      <c r="E260" t="str">
        <f>LEFT(Table_clallam_Oversight_ActiveFunds[[#This Row],[Fund]],5)</f>
        <v>163-1</v>
      </c>
      <c r="G260">
        <f t="shared" si="11"/>
      </c>
      <c r="K260" t="str">
        <f t="shared" si="12"/>
        <v>20H-1</v>
      </c>
      <c r="L260" t="s">
        <v>1321</v>
      </c>
      <c r="M260" s="30"/>
    </row>
    <row r="261" ht="15" customHeight="1" spans="1:13" x14ac:dyDescent="0.25">
      <c r="A261">
        <v>1</v>
      </c>
      <c r="B261" t="str">
        <f>LEFT(Table_clallam_Oversight_ActiveFunds[[#This Row],[Agency]],3)</f>
        <v>190</v>
      </c>
      <c r="C261" t="s">
        <v>1320</v>
      </c>
      <c r="D261" t="s">
        <v>285</v>
      </c>
      <c r="E261" t="str">
        <f>LEFT(Table_clallam_Oversight_ActiveFunds[[#This Row],[Fund]],5)</f>
        <v>608-1</v>
      </c>
      <c r="G261">
        <f t="shared" ref="G261:G324" si="13">LEFT(I261,3)</f>
      </c>
      <c r="K261" t="str">
        <f t="shared" ref="K261:K324" si="14">MID(L261,1,5)</f>
        <v>20H-T</v>
      </c>
      <c r="L261" t="s">
        <v>1322</v>
      </c>
      <c r="M261" s="30"/>
    </row>
    <row r="262" ht="15" customHeight="1" spans="1:13" x14ac:dyDescent="0.25">
      <c r="A262">
        <v>1</v>
      </c>
      <c r="B262" t="str">
        <f>LEFT(Table_clallam_Oversight_ActiveFunds[[#This Row],[Agency]],3)</f>
        <v>190</v>
      </c>
      <c r="C262" t="s">
        <v>1320</v>
      </c>
      <c r="D262" t="s">
        <v>287</v>
      </c>
      <c r="E262" t="str">
        <f>LEFT(Table_clallam_Oversight_ActiveFunds[[#This Row],[Fund]],5)</f>
        <v>609-1</v>
      </c>
      <c r="G262">
        <f t="shared" si="13"/>
      </c>
      <c r="K262" t="str">
        <f t="shared" si="14"/>
        <v>20J-1</v>
      </c>
      <c r="L262" t="s">
        <v>1323</v>
      </c>
      <c r="M262" s="30"/>
    </row>
    <row r="263" ht="15" customHeight="1" spans="1:13" x14ac:dyDescent="0.25">
      <c r="A263">
        <v>1</v>
      </c>
      <c r="B263" t="str">
        <f>LEFT(Table_clallam_Oversight_ActiveFunds[[#This Row],[Agency]],3)</f>
        <v>195</v>
      </c>
      <c r="C263" t="s">
        <v>1324</v>
      </c>
      <c r="D263" t="s">
        <v>28</v>
      </c>
      <c r="E263" t="str">
        <f>LEFT(Table_clallam_Oversight_ActiveFunds[[#This Row],[Fund]],5)</f>
        <v>001-1</v>
      </c>
      <c r="G263">
        <f t="shared" si="13"/>
      </c>
      <c r="K263" t="str">
        <f t="shared" si="14"/>
        <v>20L-Y</v>
      </c>
      <c r="L263" t="s">
        <v>1325</v>
      </c>
      <c r="M263" s="30"/>
    </row>
    <row r="264" ht="15" customHeight="1" spans="1:13" x14ac:dyDescent="0.25">
      <c r="A264">
        <v>1</v>
      </c>
      <c r="B264" t="str">
        <f>LEFT(Table_clallam_Oversight_ActiveFunds[[#This Row],[Agency]],3)</f>
        <v>195</v>
      </c>
      <c r="C264" t="s">
        <v>1324</v>
      </c>
      <c r="D264" t="s">
        <v>144</v>
      </c>
      <c r="E264" t="str">
        <f>LEFT(Table_clallam_Oversight_ActiveFunds[[#This Row],[Fund]],5)</f>
        <v>001-2</v>
      </c>
      <c r="G264">
        <f t="shared" si="13"/>
      </c>
      <c r="K264" t="str">
        <f t="shared" si="14"/>
        <v>20R-1</v>
      </c>
      <c r="L264" t="s">
        <v>1326</v>
      </c>
      <c r="M264" s="30"/>
    </row>
    <row r="265" ht="15" customHeight="1" spans="1:13" x14ac:dyDescent="0.25">
      <c r="A265">
        <v>1</v>
      </c>
      <c r="B265" t="str">
        <f>LEFT(Table_clallam_Oversight_ActiveFunds[[#This Row],[Agency]],3)</f>
        <v>195</v>
      </c>
      <c r="C265" t="s">
        <v>1324</v>
      </c>
      <c r="D265" t="s">
        <v>712</v>
      </c>
      <c r="E265" t="str">
        <f>LEFT(Table_clallam_Oversight_ActiveFunds[[#This Row],[Fund]],5)</f>
        <v>001-7</v>
      </c>
      <c r="G265">
        <f t="shared" si="13"/>
      </c>
      <c r="K265" t="str">
        <f t="shared" si="14"/>
        <v>20T-1</v>
      </c>
      <c r="L265" t="s">
        <v>1327</v>
      </c>
      <c r="M265" s="30"/>
    </row>
    <row r="266" ht="15" customHeight="1" spans="1:13" x14ac:dyDescent="0.25">
      <c r="A266">
        <v>1</v>
      </c>
      <c r="B266" t="str">
        <f>LEFT(Table_clallam_Oversight_ActiveFunds[[#This Row],[Agency]],3)</f>
        <v>195</v>
      </c>
      <c r="C266" t="s">
        <v>1324</v>
      </c>
      <c r="D266" t="s">
        <v>1082</v>
      </c>
      <c r="E266" t="str">
        <f>LEFT(Table_clallam_Oversight_ActiveFunds[[#This Row],[Fund]],5)</f>
        <v>141-6</v>
      </c>
      <c r="G266">
        <f t="shared" si="13"/>
      </c>
      <c r="K266" t="str">
        <f t="shared" si="14"/>
        <v>210-6</v>
      </c>
      <c r="L266" t="s">
        <v>1328</v>
      </c>
      <c r="M266" s="30"/>
    </row>
    <row r="267" ht="15" customHeight="1" spans="1:13" x14ac:dyDescent="0.25">
      <c r="A267">
        <v>1</v>
      </c>
      <c r="B267" t="str">
        <f>LEFT(Table_clallam_Oversight_ActiveFunds[[#This Row],[Agency]],3)</f>
        <v>195</v>
      </c>
      <c r="C267" t="s">
        <v>1324</v>
      </c>
      <c r="D267" t="s">
        <v>1153</v>
      </c>
      <c r="E267" t="str">
        <f>LEFT(Table_clallam_Oversight_ActiveFunds[[#This Row],[Fund]],5)</f>
        <v>315-1</v>
      </c>
      <c r="G267">
        <f t="shared" si="13"/>
      </c>
      <c r="K267" t="str">
        <f t="shared" si="14"/>
        <v>213-6</v>
      </c>
      <c r="L267" t="s">
        <v>1329</v>
      </c>
      <c r="M267" s="30"/>
    </row>
    <row r="268" ht="15" customHeight="1" spans="1:13" x14ac:dyDescent="0.25">
      <c r="A268">
        <v>1</v>
      </c>
      <c r="B268" t="str">
        <f>LEFT(Table_clallam_Oversight_ActiveFunds[[#This Row],[Agency]],3)</f>
        <v>195</v>
      </c>
      <c r="C268" t="s">
        <v>1324</v>
      </c>
      <c r="D268" t="s">
        <v>1155</v>
      </c>
      <c r="E268" t="str">
        <f>LEFT(Table_clallam_Oversight_ActiveFunds[[#This Row],[Fund]],5)</f>
        <v>501-1</v>
      </c>
      <c r="G268">
        <f t="shared" si="13"/>
      </c>
      <c r="K268" t="str">
        <f t="shared" si="14"/>
        <v>214-6</v>
      </c>
      <c r="L268" t="s">
        <v>1330</v>
      </c>
      <c r="M268" s="30"/>
    </row>
    <row r="269" ht="15" customHeight="1" spans="1:13" x14ac:dyDescent="0.25">
      <c r="A269">
        <v>1</v>
      </c>
      <c r="B269" t="str">
        <f>LEFT(Table_clallam_Oversight_ActiveFunds[[#This Row],[Agency]],3)</f>
        <v>205</v>
      </c>
      <c r="C269" t="s">
        <v>1331</v>
      </c>
      <c r="D269" t="s">
        <v>294</v>
      </c>
      <c r="E269" t="str">
        <f>LEFT(Table_clallam_Oversight_ActiveFunds[[#This Row],[Fund]],5)</f>
        <v>025-1</v>
      </c>
      <c r="G269">
        <f t="shared" si="13"/>
      </c>
      <c r="K269" t="str">
        <f t="shared" si="14"/>
        <v>215-1</v>
      </c>
      <c r="L269" t="s">
        <v>1332</v>
      </c>
      <c r="M269" s="30"/>
    </row>
    <row r="270" ht="15" customHeight="1" spans="1:13" x14ac:dyDescent="0.25">
      <c r="A270">
        <v>1</v>
      </c>
      <c r="B270" t="str">
        <f>LEFT(Table_clallam_Oversight_ActiveFunds[[#This Row],[Agency]],3)</f>
        <v>215</v>
      </c>
      <c r="C270" t="s">
        <v>1333</v>
      </c>
      <c r="D270" t="s">
        <v>28</v>
      </c>
      <c r="E270" t="str">
        <f>LEFT(Table_clallam_Oversight_ActiveFunds[[#This Row],[Fund]],5)</f>
        <v>001-1</v>
      </c>
      <c r="G270">
        <f t="shared" si="13"/>
      </c>
      <c r="K270" t="str">
        <f t="shared" si="14"/>
        <v>215-T</v>
      </c>
      <c r="L270" t="s">
        <v>1334</v>
      </c>
      <c r="M270" s="30"/>
    </row>
    <row r="271" ht="15" customHeight="1" spans="1:13" x14ac:dyDescent="0.25">
      <c r="A271">
        <v>1</v>
      </c>
      <c r="B271" t="str">
        <f>LEFT(Table_clallam_Oversight_ActiveFunds[[#This Row],[Agency]],3)</f>
        <v>215</v>
      </c>
      <c r="C271" t="s">
        <v>1333</v>
      </c>
      <c r="D271" t="s">
        <v>712</v>
      </c>
      <c r="E271" t="str">
        <f>LEFT(Table_clallam_Oversight_ActiveFunds[[#This Row],[Fund]],5)</f>
        <v>001-7</v>
      </c>
      <c r="G271">
        <f t="shared" si="13"/>
      </c>
      <c r="K271" t="str">
        <f t="shared" si="14"/>
        <v>216-1</v>
      </c>
      <c r="L271" t="s">
        <v>1335</v>
      </c>
      <c r="M271" s="30"/>
    </row>
    <row r="272" ht="15" customHeight="1" spans="1:13" x14ac:dyDescent="0.25">
      <c r="A272">
        <v>1</v>
      </c>
      <c r="B272" t="str">
        <f>LEFT(Table_clallam_Oversight_ActiveFunds[[#This Row],[Agency]],3)</f>
        <v>215</v>
      </c>
      <c r="C272" t="s">
        <v>1333</v>
      </c>
      <c r="D272" t="s">
        <v>1076</v>
      </c>
      <c r="E272" t="str">
        <f>LEFT(Table_clallam_Oversight_ActiveFunds[[#This Row],[Fund]],5)</f>
        <v>111-1</v>
      </c>
      <c r="G272">
        <f t="shared" si="13"/>
      </c>
      <c r="K272" t="str">
        <f t="shared" si="14"/>
        <v>217-1</v>
      </c>
      <c r="L272" t="s">
        <v>1336</v>
      </c>
      <c r="M272" s="30"/>
    </row>
    <row r="273" ht="15" customHeight="1" spans="1:13" x14ac:dyDescent="0.25">
      <c r="A273">
        <v>1</v>
      </c>
      <c r="B273" t="str">
        <f>LEFT(Table_clallam_Oversight_ActiveFunds[[#This Row],[Agency]],3)</f>
        <v>215</v>
      </c>
      <c r="C273" t="s">
        <v>1333</v>
      </c>
      <c r="D273" t="s">
        <v>1157</v>
      </c>
      <c r="E273" t="str">
        <f>LEFT(Table_clallam_Oversight_ActiveFunds[[#This Row],[Fund]],5)</f>
        <v>111-2</v>
      </c>
      <c r="G273">
        <f t="shared" si="13"/>
      </c>
      <c r="K273" t="str">
        <f t="shared" si="14"/>
        <v>218-1</v>
      </c>
      <c r="L273" t="s">
        <v>723</v>
      </c>
      <c r="M273" s="30"/>
    </row>
    <row r="274" ht="15" customHeight="1" spans="1:13" x14ac:dyDescent="0.25">
      <c r="A274">
        <v>1</v>
      </c>
      <c r="B274" t="str">
        <f>LEFT(Table_clallam_Oversight_ActiveFunds[[#This Row],[Agency]],3)</f>
        <v>215</v>
      </c>
      <c r="C274" t="s">
        <v>1333</v>
      </c>
      <c r="D274" t="s">
        <v>1299</v>
      </c>
      <c r="E274" t="str">
        <f>LEFT(Table_clallam_Oversight_ActiveFunds[[#This Row],[Fund]],5)</f>
        <v>19J-6</v>
      </c>
      <c r="G274">
        <f t="shared" si="13"/>
      </c>
      <c r="K274" t="str">
        <f t="shared" si="14"/>
        <v>218-2</v>
      </c>
      <c r="L274" t="s">
        <v>1167</v>
      </c>
      <c r="M274" s="30"/>
    </row>
    <row r="275" ht="15" customHeight="1" spans="1:13" x14ac:dyDescent="0.25">
      <c r="A275">
        <v>1</v>
      </c>
      <c r="B275" t="str">
        <f>LEFT(Table_clallam_Oversight_ActiveFunds[[#This Row],[Agency]],3)</f>
        <v>215</v>
      </c>
      <c r="C275" t="s">
        <v>1333</v>
      </c>
      <c r="D275" t="s">
        <v>298</v>
      </c>
      <c r="E275" t="str">
        <f>LEFT(Table_clallam_Oversight_ActiveFunds[[#This Row],[Fund]],5)</f>
        <v>297-1</v>
      </c>
      <c r="G275">
        <f t="shared" si="13"/>
      </c>
      <c r="K275" t="str">
        <f t="shared" si="14"/>
        <v>218-7</v>
      </c>
      <c r="L275" t="s">
        <v>1337</v>
      </c>
      <c r="M275" s="30"/>
    </row>
    <row r="276" ht="15" customHeight="1" spans="1:13" x14ac:dyDescent="0.25">
      <c r="A276">
        <v>1</v>
      </c>
      <c r="B276" t="str">
        <f>LEFT(Table_clallam_Oversight_ActiveFunds[[#This Row],[Agency]],3)</f>
        <v>215</v>
      </c>
      <c r="C276" t="s">
        <v>1333</v>
      </c>
      <c r="D276" t="s">
        <v>1338</v>
      </c>
      <c r="E276" t="str">
        <f>LEFT(Table_clallam_Oversight_ActiveFunds[[#This Row],[Fund]],5)</f>
        <v>297-2</v>
      </c>
      <c r="G276">
        <f t="shared" si="13"/>
      </c>
      <c r="K276" t="str">
        <f t="shared" si="14"/>
        <v>218-8</v>
      </c>
      <c r="L276" t="s">
        <v>1339</v>
      </c>
      <c r="M276" s="30"/>
    </row>
    <row r="277" ht="15" customHeight="1" spans="1:13" x14ac:dyDescent="0.25">
      <c r="A277">
        <v>1</v>
      </c>
      <c r="B277" t="str">
        <f>LEFT(Table_clallam_Oversight_ActiveFunds[[#This Row],[Agency]],3)</f>
        <v>215</v>
      </c>
      <c r="C277" t="s">
        <v>1333</v>
      </c>
      <c r="D277" t="s">
        <v>294</v>
      </c>
      <c r="E277" t="str">
        <f>LEFT(Table_clallam_Oversight_ActiveFunds[[#This Row],[Fund]],5)</f>
        <v>025-1</v>
      </c>
      <c r="G277">
        <f t="shared" si="13"/>
      </c>
      <c r="K277" t="str">
        <f t="shared" si="14"/>
        <v>219-1</v>
      </c>
      <c r="L277" t="s">
        <v>1340</v>
      </c>
      <c r="M277" s="30"/>
    </row>
    <row r="278" ht="15" customHeight="1" spans="1:13" x14ac:dyDescent="0.25">
      <c r="A278">
        <v>1</v>
      </c>
      <c r="B278" t="str">
        <f>LEFT(Table_clallam_Oversight_ActiveFunds[[#This Row],[Agency]],3)</f>
        <v>215</v>
      </c>
      <c r="C278" t="s">
        <v>1333</v>
      </c>
      <c r="D278" t="s">
        <v>1064</v>
      </c>
      <c r="E278" t="str">
        <f>LEFT(Table_clallam_Oversight_ActiveFunds[[#This Row],[Fund]],5)</f>
        <v>080-1</v>
      </c>
      <c r="G278">
        <f t="shared" si="13"/>
      </c>
      <c r="K278" t="str">
        <f t="shared" si="14"/>
        <v>21C-6</v>
      </c>
      <c r="L278" t="s">
        <v>1341</v>
      </c>
      <c r="M278" s="30"/>
    </row>
    <row r="279" ht="15" customHeight="1" spans="1:13" x14ac:dyDescent="0.25">
      <c r="A279">
        <v>1</v>
      </c>
      <c r="B279" t="str">
        <f>LEFT(Table_clallam_Oversight_ActiveFunds[[#This Row],[Agency]],3)</f>
        <v>215</v>
      </c>
      <c r="C279" t="s">
        <v>1333</v>
      </c>
      <c r="D279" t="s">
        <v>723</v>
      </c>
      <c r="E279" t="str">
        <f>LEFT(Table_clallam_Oversight_ActiveFunds[[#This Row],[Fund]],5)</f>
        <v>218-1</v>
      </c>
      <c r="G279">
        <f t="shared" si="13"/>
      </c>
      <c r="K279" t="str">
        <f t="shared" si="14"/>
        <v>21E-1</v>
      </c>
      <c r="L279" t="s">
        <v>1342</v>
      </c>
      <c r="M279" s="30"/>
    </row>
    <row r="280" ht="15" customHeight="1" spans="1:13" x14ac:dyDescent="0.25">
      <c r="A280">
        <v>1</v>
      </c>
      <c r="B280" t="str">
        <f>LEFT(Table_clallam_Oversight_ActiveFunds[[#This Row],[Agency]],3)</f>
        <v>220</v>
      </c>
      <c r="C280" t="s">
        <v>1343</v>
      </c>
      <c r="D280" t="s">
        <v>1310</v>
      </c>
      <c r="E280" t="str">
        <f>LEFT(Table_clallam_Oversight_ActiveFunds[[#This Row],[Fund]],5)</f>
        <v>204-1</v>
      </c>
      <c r="G280">
        <f t="shared" si="13"/>
      </c>
      <c r="K280" t="str">
        <f t="shared" si="14"/>
        <v>21H-1</v>
      </c>
      <c r="L280" t="s">
        <v>1344</v>
      </c>
      <c r="M280" s="30"/>
    </row>
    <row r="281" ht="15" customHeight="1" spans="1:13" x14ac:dyDescent="0.25">
      <c r="A281">
        <v>1</v>
      </c>
      <c r="B281" t="str">
        <f>LEFT(Table_clallam_Oversight_ActiveFunds[[#This Row],[Agency]],3)</f>
        <v>225</v>
      </c>
      <c r="C281" t="s">
        <v>1345</v>
      </c>
      <c r="D281" t="s">
        <v>28</v>
      </c>
      <c r="E281" t="str">
        <f>LEFT(Table_clallam_Oversight_ActiveFunds[[#This Row],[Fund]],5)</f>
        <v>001-1</v>
      </c>
      <c r="G281">
        <f t="shared" si="13"/>
      </c>
      <c r="K281" t="str">
        <f t="shared" si="14"/>
        <v>21N-1</v>
      </c>
      <c r="L281" t="s">
        <v>1346</v>
      </c>
      <c r="M281" s="30"/>
    </row>
    <row r="282" ht="15" customHeight="1" spans="1:13" x14ac:dyDescent="0.25">
      <c r="A282">
        <v>1</v>
      </c>
      <c r="B282" t="str">
        <f>LEFT(Table_clallam_Oversight_ActiveFunds[[#This Row],[Agency]],3)</f>
        <v>225</v>
      </c>
      <c r="C282" t="s">
        <v>1345</v>
      </c>
      <c r="D282" t="s">
        <v>144</v>
      </c>
      <c r="E282" t="str">
        <f>LEFT(Table_clallam_Oversight_ActiveFunds[[#This Row],[Fund]],5)</f>
        <v>001-2</v>
      </c>
      <c r="G282">
        <f t="shared" si="13"/>
      </c>
      <c r="K282" t="str">
        <f t="shared" si="14"/>
        <v>21Q-1</v>
      </c>
      <c r="L282" t="s">
        <v>1347</v>
      </c>
      <c r="M282" s="30"/>
    </row>
    <row r="283" ht="15" customHeight="1" spans="1:13" x14ac:dyDescent="0.25">
      <c r="A283">
        <v>1</v>
      </c>
      <c r="B283" t="str">
        <f>LEFT(Table_clallam_Oversight_ActiveFunds[[#This Row],[Agency]],3)</f>
        <v>225</v>
      </c>
      <c r="C283" t="s">
        <v>1345</v>
      </c>
      <c r="D283" t="s">
        <v>712</v>
      </c>
      <c r="E283" t="str">
        <f>LEFT(Table_clallam_Oversight_ActiveFunds[[#This Row],[Fund]],5)</f>
        <v>001-7</v>
      </c>
      <c r="G283">
        <f t="shared" si="13"/>
      </c>
      <c r="K283" t="str">
        <f t="shared" si="14"/>
        <v>21Q-6</v>
      </c>
      <c r="L283" t="s">
        <v>1348</v>
      </c>
      <c r="M283" s="30"/>
    </row>
    <row r="284" ht="15" customHeight="1" spans="1:13" x14ac:dyDescent="0.25">
      <c r="A284">
        <v>1</v>
      </c>
      <c r="B284" t="str">
        <f>LEFT(Table_clallam_Oversight_ActiveFunds[[#This Row],[Agency]],3)</f>
        <v>225</v>
      </c>
      <c r="C284" t="s">
        <v>1345</v>
      </c>
      <c r="D284" t="s">
        <v>841</v>
      </c>
      <c r="E284" t="str">
        <f>LEFT(Table_clallam_Oversight_ActiveFunds[[#This Row],[Fund]],5)</f>
        <v>02K-1</v>
      </c>
      <c r="G284">
        <f t="shared" si="13"/>
      </c>
      <c r="K284" t="str">
        <f t="shared" si="14"/>
        <v>21S-1</v>
      </c>
      <c r="L284" t="s">
        <v>1349</v>
      </c>
      <c r="M284" s="30"/>
    </row>
    <row r="285" ht="15" customHeight="1" spans="1:13" x14ac:dyDescent="0.25">
      <c r="A285">
        <v>1</v>
      </c>
      <c r="B285" t="str">
        <f>LEFT(Table_clallam_Oversight_ActiveFunds[[#This Row],[Agency]],3)</f>
        <v>225</v>
      </c>
      <c r="C285" t="s">
        <v>1345</v>
      </c>
      <c r="D285" t="s">
        <v>906</v>
      </c>
      <c r="E285" t="str">
        <f>LEFT(Table_clallam_Oversight_ActiveFunds[[#This Row],[Fund]],5)</f>
        <v>03L-1</v>
      </c>
      <c r="G285">
        <f t="shared" si="13"/>
      </c>
      <c r="K285" t="str">
        <f t="shared" si="14"/>
        <v>21V-1</v>
      </c>
      <c r="L285" t="s">
        <v>1350</v>
      </c>
      <c r="M285" s="30"/>
    </row>
    <row r="286" ht="15" customHeight="1" spans="1:13" x14ac:dyDescent="0.25">
      <c r="A286">
        <v>1</v>
      </c>
      <c r="B286" t="str">
        <f>LEFT(Table_clallam_Oversight_ActiveFunds[[#This Row],[Agency]],3)</f>
        <v>225</v>
      </c>
      <c r="C286" t="s">
        <v>1345</v>
      </c>
      <c r="D286" t="s">
        <v>911</v>
      </c>
      <c r="E286" t="str">
        <f>LEFT(Table_clallam_Oversight_ActiveFunds[[#This Row],[Fund]],5)</f>
        <v>03M-1</v>
      </c>
      <c r="G286">
        <f t="shared" si="13"/>
      </c>
      <c r="K286" t="str">
        <f t="shared" si="14"/>
        <v>223-1</v>
      </c>
      <c r="L286" t="s">
        <v>1351</v>
      </c>
      <c r="M286" s="30"/>
    </row>
    <row r="287" ht="15" customHeight="1" spans="1:13" x14ac:dyDescent="0.25">
      <c r="A287">
        <v>1</v>
      </c>
      <c r="B287" t="str">
        <f>LEFT(Table_clallam_Oversight_ActiveFunds[[#This Row],[Agency]],3)</f>
        <v>225</v>
      </c>
      <c r="C287" t="s">
        <v>1345</v>
      </c>
      <c r="D287" t="s">
        <v>920</v>
      </c>
      <c r="E287" t="str">
        <f>LEFT(Table_clallam_Oversight_ActiveFunds[[#This Row],[Fund]],5)</f>
        <v>03P-1</v>
      </c>
      <c r="G287">
        <f t="shared" si="13"/>
      </c>
      <c r="K287" t="str">
        <f t="shared" si="14"/>
        <v>225-1</v>
      </c>
      <c r="L287" t="s">
        <v>1352</v>
      </c>
      <c r="M287" s="30"/>
    </row>
    <row r="288" ht="15" customHeight="1" spans="1:13" x14ac:dyDescent="0.25">
      <c r="A288">
        <v>1</v>
      </c>
      <c r="B288" t="str">
        <f>LEFT(Table_clallam_Oversight_ActiveFunds[[#This Row],[Agency]],3)</f>
        <v>225</v>
      </c>
      <c r="C288" t="s">
        <v>1345</v>
      </c>
      <c r="D288" t="s">
        <v>978</v>
      </c>
      <c r="E288" t="str">
        <f>LEFT(Table_clallam_Oversight_ActiveFunds[[#This Row],[Fund]],5)</f>
        <v>04V-1</v>
      </c>
      <c r="G288">
        <f t="shared" si="13"/>
      </c>
      <c r="K288" t="str">
        <f t="shared" si="14"/>
        <v>226-6</v>
      </c>
      <c r="L288" t="s">
        <v>1256</v>
      </c>
      <c r="M288" s="30"/>
    </row>
    <row r="289" ht="15" customHeight="1" spans="1:13" x14ac:dyDescent="0.25">
      <c r="A289">
        <v>1</v>
      </c>
      <c r="B289" t="str">
        <f>LEFT(Table_clallam_Oversight_ActiveFunds[[#This Row],[Agency]],3)</f>
        <v>225</v>
      </c>
      <c r="C289" t="s">
        <v>1345</v>
      </c>
      <c r="D289" t="s">
        <v>997</v>
      </c>
      <c r="E289" t="str">
        <f>LEFT(Table_clallam_Oversight_ActiveFunds[[#This Row],[Fund]],5)</f>
        <v>05H-1</v>
      </c>
      <c r="G289">
        <f t="shared" si="13"/>
      </c>
      <c r="K289" t="str">
        <f t="shared" si="14"/>
        <v>22F-1</v>
      </c>
      <c r="L289" t="s">
        <v>1353</v>
      </c>
      <c r="M289" s="30"/>
    </row>
    <row r="290" ht="15" customHeight="1" spans="1:13" x14ac:dyDescent="0.25">
      <c r="A290">
        <v>1</v>
      </c>
      <c r="B290" t="str">
        <f>LEFT(Table_clallam_Oversight_ActiveFunds[[#This Row],[Agency]],3)</f>
        <v>225</v>
      </c>
      <c r="C290" t="s">
        <v>1345</v>
      </c>
      <c r="D290" t="s">
        <v>1078</v>
      </c>
      <c r="E290" t="str">
        <f>LEFT(Table_clallam_Oversight_ActiveFunds[[#This Row],[Fund]],5)</f>
        <v>086-1</v>
      </c>
      <c r="G290">
        <f t="shared" si="13"/>
      </c>
      <c r="K290" t="str">
        <f t="shared" si="14"/>
        <v>22G-6</v>
      </c>
      <c r="L290" t="s">
        <v>1354</v>
      </c>
      <c r="M290" s="30"/>
    </row>
    <row r="291" ht="15" customHeight="1" spans="1:13" x14ac:dyDescent="0.25">
      <c r="A291">
        <v>1</v>
      </c>
      <c r="B291" t="str">
        <f>LEFT(Table_clallam_Oversight_ActiveFunds[[#This Row],[Agency]],3)</f>
        <v>225</v>
      </c>
      <c r="C291" t="s">
        <v>1345</v>
      </c>
      <c r="D291" t="s">
        <v>1082</v>
      </c>
      <c r="E291" t="str">
        <f>LEFT(Table_clallam_Oversight_ActiveFunds[[#This Row],[Fund]],5)</f>
        <v>141-6</v>
      </c>
      <c r="G291">
        <f t="shared" si="13"/>
      </c>
      <c r="K291" t="str">
        <f t="shared" si="14"/>
        <v>22J-1</v>
      </c>
      <c r="L291" t="s">
        <v>1355</v>
      </c>
      <c r="M291" s="30"/>
    </row>
    <row r="292" ht="15" customHeight="1" spans="1:13" x14ac:dyDescent="0.25">
      <c r="A292">
        <v>1</v>
      </c>
      <c r="B292" t="str">
        <f>LEFT(Table_clallam_Oversight_ActiveFunds[[#This Row],[Agency]],3)</f>
        <v>225</v>
      </c>
      <c r="C292" t="s">
        <v>1345</v>
      </c>
      <c r="D292" t="s">
        <v>1209</v>
      </c>
      <c r="E292" t="str">
        <f>LEFT(Table_clallam_Oversight_ActiveFunds[[#This Row],[Fund]],5)</f>
        <v>14W-6</v>
      </c>
      <c r="G292">
        <f t="shared" si="13"/>
      </c>
      <c r="K292" t="str">
        <f t="shared" si="14"/>
        <v>22N-6</v>
      </c>
      <c r="L292" t="s">
        <v>1356</v>
      </c>
      <c r="M292" s="30"/>
    </row>
    <row r="293" ht="15" customHeight="1" spans="1:13" x14ac:dyDescent="0.25">
      <c r="A293">
        <v>1</v>
      </c>
      <c r="B293" t="str">
        <f>LEFT(Table_clallam_Oversight_ActiveFunds[[#This Row],[Agency]],3)</f>
        <v>225</v>
      </c>
      <c r="C293" t="s">
        <v>1345</v>
      </c>
      <c r="D293" t="s">
        <v>1319</v>
      </c>
      <c r="E293" t="str">
        <f>LEFT(Table_clallam_Oversight_ActiveFunds[[#This Row],[Fund]],5)</f>
        <v>20E-1</v>
      </c>
      <c r="G293">
        <f t="shared" si="13"/>
      </c>
      <c r="K293" t="str">
        <f t="shared" si="14"/>
        <v>22P-1</v>
      </c>
      <c r="L293" t="s">
        <v>1357</v>
      </c>
      <c r="M293" s="30"/>
    </row>
    <row r="294" ht="15" customHeight="1" spans="1:13" x14ac:dyDescent="0.25">
      <c r="A294">
        <v>1</v>
      </c>
      <c r="B294" t="str">
        <f>LEFT(Table_clallam_Oversight_ActiveFunds[[#This Row],[Agency]],3)</f>
        <v>225</v>
      </c>
      <c r="C294" t="s">
        <v>1345</v>
      </c>
      <c r="D294" t="s">
        <v>1328</v>
      </c>
      <c r="E294" t="str">
        <f>LEFT(Table_clallam_Oversight_ActiveFunds[[#This Row],[Fund]],5)</f>
        <v>210-6</v>
      </c>
      <c r="G294">
        <f t="shared" si="13"/>
      </c>
      <c r="K294" t="str">
        <f t="shared" si="14"/>
        <v>22P-6</v>
      </c>
      <c r="L294" t="s">
        <v>1358</v>
      </c>
      <c r="M294" s="30"/>
    </row>
    <row r="295" ht="15" customHeight="1" spans="1:13" x14ac:dyDescent="0.25">
      <c r="A295">
        <v>1</v>
      </c>
      <c r="B295" t="str">
        <f>LEFT(Table_clallam_Oversight_ActiveFunds[[#This Row],[Agency]],3)</f>
        <v>225</v>
      </c>
      <c r="C295" t="s">
        <v>1345</v>
      </c>
      <c r="D295" t="s">
        <v>1341</v>
      </c>
      <c r="E295" t="str">
        <f>LEFT(Table_clallam_Oversight_ActiveFunds[[#This Row],[Fund]],5)</f>
        <v>21C-6</v>
      </c>
      <c r="G295">
        <f t="shared" si="13"/>
      </c>
      <c r="K295" t="str">
        <f t="shared" si="14"/>
        <v>22S-6</v>
      </c>
      <c r="L295" t="s">
        <v>1140</v>
      </c>
      <c r="M295" s="30"/>
    </row>
    <row r="296" ht="15" customHeight="1" spans="1:13" x14ac:dyDescent="0.25">
      <c r="A296">
        <v>1</v>
      </c>
      <c r="B296" t="str">
        <f>LEFT(Table_clallam_Oversight_ActiveFunds[[#This Row],[Agency]],3)</f>
        <v>225</v>
      </c>
      <c r="C296" t="s">
        <v>1345</v>
      </c>
      <c r="D296" t="s">
        <v>1352</v>
      </c>
      <c r="E296" t="str">
        <f>LEFT(Table_clallam_Oversight_ActiveFunds[[#This Row],[Fund]],5)</f>
        <v>225-1</v>
      </c>
      <c r="G296">
        <f t="shared" si="13"/>
      </c>
      <c r="K296" t="str">
        <f t="shared" si="14"/>
        <v>22T-1</v>
      </c>
      <c r="L296" t="s">
        <v>1142</v>
      </c>
      <c r="M296" s="30"/>
    </row>
    <row r="297" ht="15" customHeight="1" spans="1:13" x14ac:dyDescent="0.25">
      <c r="A297">
        <v>1</v>
      </c>
      <c r="B297" t="str">
        <f>LEFT(Table_clallam_Oversight_ActiveFunds[[#This Row],[Agency]],3)</f>
        <v>225</v>
      </c>
      <c r="C297" t="s">
        <v>1345</v>
      </c>
      <c r="D297" t="s">
        <v>1256</v>
      </c>
      <c r="E297" t="str">
        <f>LEFT(Table_clallam_Oversight_ActiveFunds[[#This Row],[Fund]],5)</f>
        <v>226-6</v>
      </c>
      <c r="G297">
        <f t="shared" si="13"/>
      </c>
      <c r="K297" t="str">
        <f t="shared" si="14"/>
        <v>22U-1</v>
      </c>
      <c r="L297" t="s">
        <v>1359</v>
      </c>
      <c r="M297" s="30"/>
    </row>
    <row r="298" ht="15" customHeight="1" spans="1:13" x14ac:dyDescent="0.25">
      <c r="A298">
        <v>1</v>
      </c>
      <c r="B298" t="str">
        <f>LEFT(Table_clallam_Oversight_ActiveFunds[[#This Row],[Agency]],3)</f>
        <v>225</v>
      </c>
      <c r="C298" t="s">
        <v>1345</v>
      </c>
      <c r="D298" t="s">
        <v>1283</v>
      </c>
      <c r="E298" t="str">
        <f>LEFT(Table_clallam_Oversight_ActiveFunds[[#This Row],[Fund]],5)</f>
        <v>23P-1</v>
      </c>
      <c r="G298">
        <f t="shared" si="13"/>
      </c>
      <c r="K298" t="str">
        <f t="shared" si="14"/>
        <v>22V-6</v>
      </c>
      <c r="L298" t="s">
        <v>1360</v>
      </c>
      <c r="M298" s="30"/>
    </row>
    <row r="299" ht="15" customHeight="1" spans="1:13" x14ac:dyDescent="0.25">
      <c r="A299">
        <v>1</v>
      </c>
      <c r="B299" t="str">
        <f>LEFT(Table_clallam_Oversight_ActiveFunds[[#This Row],[Agency]],3)</f>
        <v>225</v>
      </c>
      <c r="C299" t="s">
        <v>1345</v>
      </c>
      <c r="D299" t="s">
        <v>1361</v>
      </c>
      <c r="E299" t="str">
        <f>LEFT(Table_clallam_Oversight_ActiveFunds[[#This Row],[Fund]],5)</f>
        <v>24T-6</v>
      </c>
      <c r="G299">
        <f t="shared" si="13"/>
      </c>
      <c r="K299" t="str">
        <f t="shared" si="14"/>
        <v>22W-1</v>
      </c>
      <c r="L299" t="s">
        <v>998</v>
      </c>
      <c r="M299" s="30"/>
    </row>
    <row r="300" ht="15" customHeight="1" spans="1:13" x14ac:dyDescent="0.25">
      <c r="A300">
        <v>1</v>
      </c>
      <c r="B300" t="str">
        <f>LEFT(Table_clallam_Oversight_ActiveFunds[[#This Row],[Agency]],3)</f>
        <v>225</v>
      </c>
      <c r="C300" t="s">
        <v>1345</v>
      </c>
      <c r="D300" t="s">
        <v>1153</v>
      </c>
      <c r="E300" t="str">
        <f>LEFT(Table_clallam_Oversight_ActiveFunds[[#This Row],[Fund]],5)</f>
        <v>315-1</v>
      </c>
      <c r="G300">
        <f t="shared" si="13"/>
      </c>
      <c r="K300" t="str">
        <f t="shared" si="14"/>
        <v>234-1</v>
      </c>
      <c r="L300" t="s">
        <v>1362</v>
      </c>
      <c r="M300" s="30"/>
    </row>
    <row r="301" ht="15" customHeight="1" spans="1:13" x14ac:dyDescent="0.25">
      <c r="A301">
        <v>1</v>
      </c>
      <c r="B301" t="str">
        <f>LEFT(Table_clallam_Oversight_ActiveFunds[[#This Row],[Agency]],3)</f>
        <v>225</v>
      </c>
      <c r="C301" t="s">
        <v>1345</v>
      </c>
      <c r="D301" t="s">
        <v>1363</v>
      </c>
      <c r="E301" t="str">
        <f>LEFT(Table_clallam_Oversight_ActiveFunds[[#This Row],[Fund]],5)</f>
        <v>515-6</v>
      </c>
      <c r="G301">
        <f t="shared" si="13"/>
      </c>
      <c r="K301" t="str">
        <f t="shared" si="14"/>
        <v>235-1</v>
      </c>
      <c r="L301" t="s">
        <v>1364</v>
      </c>
      <c r="M301" s="30"/>
    </row>
    <row r="302" ht="15" customHeight="1" spans="1:13" x14ac:dyDescent="0.25">
      <c r="A302">
        <v>1</v>
      </c>
      <c r="B302" t="str">
        <f>LEFT(Table_clallam_Oversight_ActiveFunds[[#This Row],[Agency]],3)</f>
        <v>225</v>
      </c>
      <c r="C302" t="s">
        <v>1345</v>
      </c>
      <c r="D302" t="s">
        <v>904</v>
      </c>
      <c r="E302" t="str">
        <f>LEFT(Table_clallam_Oversight_ActiveFunds[[#This Row],[Fund]],5)</f>
        <v>081-1</v>
      </c>
      <c r="G302">
        <f t="shared" si="13"/>
      </c>
      <c r="K302" t="str">
        <f t="shared" si="14"/>
        <v>23A-6</v>
      </c>
      <c r="L302" t="s">
        <v>1365</v>
      </c>
      <c r="M302" s="30"/>
    </row>
    <row r="303" ht="15" customHeight="1" spans="1:13" x14ac:dyDescent="0.25">
      <c r="A303">
        <v>1</v>
      </c>
      <c r="B303" t="str">
        <f>LEFT(Table_clallam_Oversight_ActiveFunds[[#This Row],[Agency]],3)</f>
        <v>225</v>
      </c>
      <c r="C303" t="s">
        <v>1345</v>
      </c>
      <c r="D303" t="s">
        <v>1069</v>
      </c>
      <c r="E303" t="str">
        <f>LEFT(Table_clallam_Oversight_ActiveFunds[[#This Row],[Fund]],5)</f>
        <v>081-2</v>
      </c>
      <c r="G303">
        <f t="shared" si="13"/>
      </c>
      <c r="K303" t="str">
        <f t="shared" si="14"/>
        <v>23L-6</v>
      </c>
      <c r="L303" t="s">
        <v>1216</v>
      </c>
      <c r="M303" s="30"/>
    </row>
    <row r="304" ht="15" customHeight="1" spans="1:13" x14ac:dyDescent="0.25">
      <c r="A304">
        <v>1</v>
      </c>
      <c r="B304" t="str">
        <f>LEFT(Table_clallam_Oversight_ActiveFunds[[#This Row],[Agency]],3)</f>
        <v>225</v>
      </c>
      <c r="C304" t="s">
        <v>1345</v>
      </c>
      <c r="D304" t="s">
        <v>1072</v>
      </c>
      <c r="E304" t="str">
        <f>LEFT(Table_clallam_Oversight_ActiveFunds[[#This Row],[Fund]],5)</f>
        <v>081-7</v>
      </c>
      <c r="G304">
        <f t="shared" si="13"/>
      </c>
      <c r="K304" t="str">
        <f t="shared" si="14"/>
        <v>23M-6</v>
      </c>
      <c r="L304" t="s">
        <v>1366</v>
      </c>
      <c r="M304" s="30"/>
    </row>
    <row r="305" ht="15" customHeight="1" spans="1:13" x14ac:dyDescent="0.25">
      <c r="A305">
        <v>1</v>
      </c>
      <c r="B305" t="str">
        <f>LEFT(Table_clallam_Oversight_ActiveFunds[[#This Row],[Agency]],3)</f>
        <v>225</v>
      </c>
      <c r="C305" t="s">
        <v>1345</v>
      </c>
      <c r="D305" t="s">
        <v>1131</v>
      </c>
      <c r="E305" t="str">
        <f>LEFT(Table_clallam_Oversight_ActiveFunds[[#This Row],[Fund]],5)</f>
        <v>106-1</v>
      </c>
      <c r="G305">
        <f t="shared" si="13"/>
      </c>
      <c r="K305" t="str">
        <f t="shared" si="14"/>
        <v>23P-1</v>
      </c>
      <c r="L305" t="s">
        <v>1283</v>
      </c>
      <c r="M305" s="30"/>
    </row>
    <row r="306" ht="15" customHeight="1" spans="1:13" x14ac:dyDescent="0.25">
      <c r="A306">
        <v>1</v>
      </c>
      <c r="B306" t="str">
        <f>LEFT(Table_clallam_Oversight_ActiveFunds[[#This Row],[Agency]],3)</f>
        <v>225</v>
      </c>
      <c r="C306" t="s">
        <v>1345</v>
      </c>
      <c r="D306" t="s">
        <v>1208</v>
      </c>
      <c r="E306" t="str">
        <f>LEFT(Table_clallam_Oversight_ActiveFunds[[#This Row],[Fund]],5)</f>
        <v>14V-1</v>
      </c>
      <c r="G306">
        <f t="shared" si="13"/>
      </c>
      <c r="K306" t="str">
        <f t="shared" si="14"/>
        <v>23P-7</v>
      </c>
      <c r="L306" t="s">
        <v>1367</v>
      </c>
      <c r="M306" s="30"/>
    </row>
    <row r="307" ht="15" customHeight="1" spans="1:13" x14ac:dyDescent="0.25">
      <c r="A307">
        <v>1</v>
      </c>
      <c r="B307" t="str">
        <f>LEFT(Table_clallam_Oversight_ActiveFunds[[#This Row],[Agency]],3)</f>
        <v>225</v>
      </c>
      <c r="C307" t="s">
        <v>1345</v>
      </c>
      <c r="D307" t="s">
        <v>1235</v>
      </c>
      <c r="E307" t="str">
        <f>LEFT(Table_clallam_Oversight_ActiveFunds[[#This Row],[Fund]],5)</f>
        <v>16J-1</v>
      </c>
      <c r="G307">
        <f t="shared" si="13"/>
      </c>
      <c r="K307" t="str">
        <f t="shared" si="14"/>
        <v>23R-1</v>
      </c>
      <c r="L307" t="s">
        <v>1144</v>
      </c>
      <c r="M307" s="30"/>
    </row>
    <row r="308" ht="15" customHeight="1" spans="1:13" x14ac:dyDescent="0.25">
      <c r="A308">
        <v>1</v>
      </c>
      <c r="B308" t="str">
        <f>LEFT(Table_clallam_Oversight_ActiveFunds[[#This Row],[Agency]],3)</f>
        <v>225</v>
      </c>
      <c r="C308" t="s">
        <v>1345</v>
      </c>
      <c r="D308" t="s">
        <v>723</v>
      </c>
      <c r="E308" t="str">
        <f>LEFT(Table_clallam_Oversight_ActiveFunds[[#This Row],[Fund]],5)</f>
        <v>218-1</v>
      </c>
      <c r="G308">
        <f t="shared" si="13"/>
      </c>
      <c r="K308" t="str">
        <f t="shared" si="14"/>
        <v>23S-1</v>
      </c>
      <c r="L308" t="s">
        <v>1368</v>
      </c>
      <c r="M308" s="30"/>
    </row>
    <row r="309" ht="15" customHeight="1" spans="1:13" x14ac:dyDescent="0.25">
      <c r="A309">
        <v>1</v>
      </c>
      <c r="B309" t="str">
        <f>LEFT(Table_clallam_Oversight_ActiveFunds[[#This Row],[Agency]],3)</f>
        <v>225</v>
      </c>
      <c r="C309" t="s">
        <v>1345</v>
      </c>
      <c r="D309" t="s">
        <v>1369</v>
      </c>
      <c r="E309" t="str">
        <f>LEFT(Table_clallam_Oversight_ActiveFunds[[#This Row],[Fund]],5)</f>
        <v>471-6</v>
      </c>
      <c r="G309">
        <f t="shared" si="13"/>
      </c>
      <c r="K309" t="str">
        <f t="shared" si="14"/>
        <v>23V-1</v>
      </c>
      <c r="L309" t="s">
        <v>1370</v>
      </c>
      <c r="M309" s="30"/>
    </row>
    <row r="310" ht="15" customHeight="1" spans="1:13" x14ac:dyDescent="0.25">
      <c r="A310">
        <v>1</v>
      </c>
      <c r="B310" t="str">
        <f>LEFT(Table_clallam_Oversight_ActiveFunds[[#This Row],[Agency]],3)</f>
        <v>225</v>
      </c>
      <c r="C310" t="s">
        <v>1345</v>
      </c>
      <c r="D310" t="s">
        <v>1371</v>
      </c>
      <c r="E310" t="str">
        <f>LEFT(Table_clallam_Oversight_ActiveFunds[[#This Row],[Fund]],5)</f>
        <v>511-1</v>
      </c>
      <c r="G310">
        <f t="shared" si="13"/>
      </c>
      <c r="K310" t="str">
        <f t="shared" si="14"/>
        <v>23W-1</v>
      </c>
      <c r="L310" t="s">
        <v>1372</v>
      </c>
      <c r="M310" s="30"/>
    </row>
    <row r="311" ht="15" customHeight="1" spans="1:13" x14ac:dyDescent="0.25">
      <c r="A311">
        <v>1</v>
      </c>
      <c r="B311" t="str">
        <f>LEFT(Table_clallam_Oversight_ActiveFunds[[#This Row],[Agency]],3)</f>
        <v>225</v>
      </c>
      <c r="C311" t="s">
        <v>1345</v>
      </c>
      <c r="D311" t="s">
        <v>1373</v>
      </c>
      <c r="E311" t="str">
        <f>LEFT(Table_clallam_Oversight_ActiveFunds[[#This Row],[Fund]],5)</f>
        <v>595-1</v>
      </c>
      <c r="G311">
        <f t="shared" si="13"/>
      </c>
      <c r="K311" t="str">
        <f t="shared" si="14"/>
        <v>24A-6</v>
      </c>
      <c r="L311" t="s">
        <v>1374</v>
      </c>
      <c r="M311" s="30"/>
    </row>
    <row r="312" ht="15" customHeight="1" spans="1:13" x14ac:dyDescent="0.25">
      <c r="A312">
        <v>1</v>
      </c>
      <c r="B312" t="str">
        <f>LEFT(Table_clallam_Oversight_ActiveFunds[[#This Row],[Agency]],3)</f>
        <v>227</v>
      </c>
      <c r="C312" t="s">
        <v>1375</v>
      </c>
      <c r="D312" t="s">
        <v>28</v>
      </c>
      <c r="E312" t="str">
        <f>LEFT(Table_clallam_Oversight_ActiveFunds[[#This Row],[Fund]],5)</f>
        <v>001-1</v>
      </c>
      <c r="G312">
        <f t="shared" si="13"/>
      </c>
      <c r="K312" t="str">
        <f t="shared" si="14"/>
        <v>24B-1</v>
      </c>
      <c r="L312" t="s">
        <v>952</v>
      </c>
      <c r="M312" s="30"/>
    </row>
    <row r="313" ht="15" customHeight="1" spans="1:13" x14ac:dyDescent="0.25">
      <c r="A313">
        <v>1</v>
      </c>
      <c r="B313" t="str">
        <f>LEFT(Table_clallam_Oversight_ActiveFunds[[#This Row],[Agency]],3)</f>
        <v>227</v>
      </c>
      <c r="C313" t="s">
        <v>1375</v>
      </c>
      <c r="D313" t="s">
        <v>712</v>
      </c>
      <c r="E313" t="str">
        <f>LEFT(Table_clallam_Oversight_ActiveFunds[[#This Row],[Fund]],5)</f>
        <v>001-7</v>
      </c>
      <c r="G313">
        <f t="shared" si="13"/>
      </c>
      <c r="K313" t="str">
        <f t="shared" si="14"/>
        <v>24G-6</v>
      </c>
      <c r="L313" t="s">
        <v>1376</v>
      </c>
      <c r="M313" s="30"/>
    </row>
    <row r="314" ht="15" customHeight="1" spans="1:13" x14ac:dyDescent="0.25">
      <c r="A314">
        <v>1</v>
      </c>
      <c r="B314" t="str">
        <f>LEFT(Table_clallam_Oversight_ActiveFunds[[#This Row],[Agency]],3)</f>
        <v>227</v>
      </c>
      <c r="C314" t="s">
        <v>1375</v>
      </c>
      <c r="D314" t="s">
        <v>841</v>
      </c>
      <c r="E314" t="str">
        <f>LEFT(Table_clallam_Oversight_ActiveFunds[[#This Row],[Fund]],5)</f>
        <v>02K-1</v>
      </c>
      <c r="G314">
        <f t="shared" si="13"/>
      </c>
      <c r="K314" t="str">
        <f t="shared" si="14"/>
        <v>24J-1</v>
      </c>
      <c r="L314" t="s">
        <v>442</v>
      </c>
      <c r="M314" s="30"/>
    </row>
    <row r="315" ht="15" customHeight="1" spans="1:13" x14ac:dyDescent="0.25">
      <c r="A315">
        <v>1</v>
      </c>
      <c r="B315" t="str">
        <f>LEFT(Table_clallam_Oversight_ActiveFunds[[#This Row],[Agency]],3)</f>
        <v>227</v>
      </c>
      <c r="C315" t="s">
        <v>1375</v>
      </c>
      <c r="D315" t="s">
        <v>911</v>
      </c>
      <c r="E315" t="str">
        <f>LEFT(Table_clallam_Oversight_ActiveFunds[[#This Row],[Fund]],5)</f>
        <v>03M-1</v>
      </c>
      <c r="G315">
        <f t="shared" si="13"/>
      </c>
      <c r="K315" t="str">
        <f t="shared" si="14"/>
        <v>24K-1</v>
      </c>
      <c r="L315" t="s">
        <v>1377</v>
      </c>
      <c r="M315" s="30"/>
    </row>
    <row r="316" ht="15" customHeight="1" spans="1:13" x14ac:dyDescent="0.25">
      <c r="A316">
        <v>1</v>
      </c>
      <c r="B316" t="str">
        <f>LEFT(Table_clallam_Oversight_ActiveFunds[[#This Row],[Agency]],3)</f>
        <v>227</v>
      </c>
      <c r="C316" t="s">
        <v>1375</v>
      </c>
      <c r="D316" t="s">
        <v>1172</v>
      </c>
      <c r="E316" t="str">
        <f>LEFT(Table_clallam_Oversight_ActiveFunds[[#This Row],[Fund]],5)</f>
        <v>11K-1</v>
      </c>
      <c r="G316">
        <f t="shared" si="13"/>
      </c>
      <c r="K316" t="str">
        <f t="shared" si="14"/>
        <v>24L-1</v>
      </c>
      <c r="L316" t="s">
        <v>1217</v>
      </c>
      <c r="M316" s="30"/>
    </row>
    <row r="317" ht="15" customHeight="1" spans="1:13" x14ac:dyDescent="0.25">
      <c r="A317">
        <v>1</v>
      </c>
      <c r="B317" t="str">
        <f>LEFT(Table_clallam_Oversight_ActiveFunds[[#This Row],[Agency]],3)</f>
        <v>227</v>
      </c>
      <c r="C317" t="s">
        <v>1375</v>
      </c>
      <c r="D317" t="s">
        <v>1278</v>
      </c>
      <c r="E317" t="str">
        <f>LEFT(Table_clallam_Oversight_ActiveFunds[[#This Row],[Fund]],5)</f>
        <v>18K-1</v>
      </c>
      <c r="G317">
        <f t="shared" si="13"/>
      </c>
      <c r="K317" t="str">
        <f t="shared" si="14"/>
        <v>24N-1</v>
      </c>
      <c r="L317" t="s">
        <v>1378</v>
      </c>
      <c r="M317" s="30"/>
    </row>
    <row r="318" ht="15" customHeight="1" spans="1:13" x14ac:dyDescent="0.25">
      <c r="A318">
        <v>1</v>
      </c>
      <c r="B318" t="str">
        <f>LEFT(Table_clallam_Oversight_ActiveFunds[[#This Row],[Agency]],3)</f>
        <v>227</v>
      </c>
      <c r="C318" t="s">
        <v>1375</v>
      </c>
      <c r="D318" t="s">
        <v>1319</v>
      </c>
      <c r="E318" t="str">
        <f>LEFT(Table_clallam_Oversight_ActiveFunds[[#This Row],[Fund]],5)</f>
        <v>20E-1</v>
      </c>
      <c r="G318">
        <f t="shared" si="13"/>
      </c>
      <c r="K318" t="str">
        <f t="shared" si="14"/>
        <v>24P-1</v>
      </c>
      <c r="L318" t="s">
        <v>1294</v>
      </c>
      <c r="M318" s="30"/>
    </row>
    <row r="319" ht="15" customHeight="1" spans="1:13" x14ac:dyDescent="0.25">
      <c r="A319">
        <v>1</v>
      </c>
      <c r="B319" t="str">
        <f>LEFT(Table_clallam_Oversight_ActiveFunds[[#This Row],[Agency]],3)</f>
        <v>228</v>
      </c>
      <c r="C319" t="s">
        <v>1379</v>
      </c>
      <c r="D319" t="s">
        <v>1131</v>
      </c>
      <c r="E319" t="str">
        <f>LEFT(Table_clallam_Oversight_ActiveFunds[[#This Row],[Fund]],5)</f>
        <v>106-1</v>
      </c>
      <c r="G319">
        <f t="shared" si="13"/>
      </c>
      <c r="K319" t="str">
        <f t="shared" si="14"/>
        <v>24Q-1</v>
      </c>
      <c r="L319" t="s">
        <v>1380</v>
      </c>
      <c r="M319" s="30"/>
    </row>
    <row r="320" ht="15" customHeight="1" spans="1:13" x14ac:dyDescent="0.25">
      <c r="A320">
        <v>1</v>
      </c>
      <c r="B320" t="str">
        <f>LEFT(Table_clallam_Oversight_ActiveFunds[[#This Row],[Agency]],3)</f>
        <v>228</v>
      </c>
      <c r="C320" t="s">
        <v>1379</v>
      </c>
      <c r="D320" t="s">
        <v>1133</v>
      </c>
      <c r="E320" t="str">
        <f>LEFT(Table_clallam_Oversight_ActiveFunds[[#This Row],[Fund]],5)</f>
        <v>106-2</v>
      </c>
      <c r="G320">
        <f t="shared" si="13"/>
      </c>
      <c r="K320" t="str">
        <f t="shared" si="14"/>
        <v>24T-6</v>
      </c>
      <c r="L320" t="s">
        <v>1361</v>
      </c>
      <c r="M320" s="30"/>
    </row>
    <row r="321" ht="15" customHeight="1" spans="1:13" x14ac:dyDescent="0.25">
      <c r="A321">
        <v>1</v>
      </c>
      <c r="B321" t="str">
        <f>LEFT(Table_clallam_Oversight_ActiveFunds[[#This Row],[Agency]],3)</f>
        <v>228</v>
      </c>
      <c r="C321" t="s">
        <v>1379</v>
      </c>
      <c r="D321" t="s">
        <v>1135</v>
      </c>
      <c r="E321" t="str">
        <f>LEFT(Table_clallam_Oversight_ActiveFunds[[#This Row],[Fund]],5)</f>
        <v>106-7</v>
      </c>
      <c r="G321">
        <f t="shared" si="13"/>
      </c>
      <c r="K321" t="str">
        <f t="shared" si="14"/>
        <v>24V-1</v>
      </c>
      <c r="L321" t="s">
        <v>1219</v>
      </c>
      <c r="M321" s="30"/>
    </row>
    <row r="322" ht="15" customHeight="1" spans="1:13" x14ac:dyDescent="0.25">
      <c r="A322">
        <v>1</v>
      </c>
      <c r="B322" t="str">
        <f>LEFT(Table_clallam_Oversight_ActiveFunds[[#This Row],[Agency]],3)</f>
        <v>228</v>
      </c>
      <c r="C322" t="s">
        <v>1379</v>
      </c>
      <c r="D322" t="s">
        <v>1380</v>
      </c>
      <c r="E322" t="str">
        <f>LEFT(Table_clallam_Oversight_ActiveFunds[[#This Row],[Fund]],5)</f>
        <v>24Q-1</v>
      </c>
      <c r="G322">
        <f t="shared" si="13"/>
      </c>
      <c r="K322" t="str">
        <f t="shared" si="14"/>
        <v>259-6</v>
      </c>
      <c r="L322" t="s">
        <v>1381</v>
      </c>
      <c r="M322" s="30"/>
    </row>
    <row r="323" ht="15" customHeight="1" spans="1:13" x14ac:dyDescent="0.25">
      <c r="A323">
        <v>1</v>
      </c>
      <c r="B323" t="str">
        <f>LEFT(Table_clallam_Oversight_ActiveFunds[[#This Row],[Agency]],3)</f>
        <v>228</v>
      </c>
      <c r="C323" t="s">
        <v>1379</v>
      </c>
      <c r="D323" t="s">
        <v>1382</v>
      </c>
      <c r="E323" t="str">
        <f>LEFT(Table_clallam_Oversight_ActiveFunds[[#This Row],[Fund]],5)</f>
        <v>780-1</v>
      </c>
      <c r="G323">
        <f t="shared" si="13"/>
      </c>
      <c r="K323" t="str">
        <f t="shared" si="14"/>
        <v>25B-1</v>
      </c>
      <c r="L323" t="s">
        <v>1383</v>
      </c>
      <c r="M323" s="30"/>
    </row>
    <row r="324" ht="15" customHeight="1" spans="1:13" x14ac:dyDescent="0.25">
      <c r="A324">
        <v>1</v>
      </c>
      <c r="B324" t="str">
        <f>LEFT(Table_clallam_Oversight_ActiveFunds[[#This Row],[Agency]],3)</f>
        <v>229</v>
      </c>
      <c r="C324" t="s">
        <v>1384</v>
      </c>
      <c r="D324" t="s">
        <v>28</v>
      </c>
      <c r="E324" t="str">
        <f>LEFT(Table_clallam_Oversight_ActiveFunds[[#This Row],[Fund]],5)</f>
        <v>001-1</v>
      </c>
      <c r="G324">
        <f t="shared" si="13"/>
      </c>
      <c r="K324" t="str">
        <f t="shared" si="14"/>
        <v>25C-2</v>
      </c>
      <c r="L324" t="s">
        <v>1385</v>
      </c>
      <c r="M324" s="30"/>
    </row>
    <row r="325" ht="15" customHeight="1" spans="1:13" x14ac:dyDescent="0.25">
      <c r="A325">
        <v>1</v>
      </c>
      <c r="B325" t="str">
        <f>LEFT(Table_clallam_Oversight_ActiveFunds[[#This Row],[Agency]],3)</f>
        <v>235</v>
      </c>
      <c r="C325" t="s">
        <v>1386</v>
      </c>
      <c r="D325" t="s">
        <v>28</v>
      </c>
      <c r="E325" t="str">
        <f>LEFT(Table_clallam_Oversight_ActiveFunds[[#This Row],[Fund]],5)</f>
        <v>001-1</v>
      </c>
      <c r="G325">
        <f t="shared" ref="G325:G388" si="15">LEFT(I325,3)</f>
      </c>
      <c r="K325" t="str">
        <f t="shared" ref="K325:K388" si="16">MID(L325,1,5)</f>
        <v>25M-1</v>
      </c>
      <c r="L325" t="s">
        <v>1221</v>
      </c>
      <c r="M325" s="30"/>
    </row>
    <row r="326" ht="15" customHeight="1" spans="1:13" x14ac:dyDescent="0.25">
      <c r="A326">
        <v>1</v>
      </c>
      <c r="B326" t="str">
        <f>LEFT(Table_clallam_Oversight_ActiveFunds[[#This Row],[Agency]],3)</f>
        <v>235</v>
      </c>
      <c r="C326" t="s">
        <v>1386</v>
      </c>
      <c r="D326" t="s">
        <v>144</v>
      </c>
      <c r="E326" t="str">
        <f>LEFT(Table_clallam_Oversight_ActiveFunds[[#This Row],[Fund]],5)</f>
        <v>001-2</v>
      </c>
      <c r="G326">
        <f t="shared" si="15"/>
      </c>
      <c r="K326" t="str">
        <f t="shared" si="16"/>
        <v>25N-1</v>
      </c>
      <c r="L326" t="s">
        <v>1182</v>
      </c>
      <c r="M326" s="30"/>
    </row>
    <row r="327" ht="15" customHeight="1" spans="1:13" x14ac:dyDescent="0.25">
      <c r="A327">
        <v>1</v>
      </c>
      <c r="B327" t="str">
        <f>LEFT(Table_clallam_Oversight_ActiveFunds[[#This Row],[Agency]],3)</f>
        <v>235</v>
      </c>
      <c r="C327" t="s">
        <v>1386</v>
      </c>
      <c r="D327" t="s">
        <v>800</v>
      </c>
      <c r="E327" t="str">
        <f>LEFT(Table_clallam_Oversight_ActiveFunds[[#This Row],[Fund]],5)</f>
        <v>01F-6</v>
      </c>
      <c r="G327">
        <f t="shared" si="15"/>
      </c>
      <c r="K327" t="str">
        <f t="shared" si="16"/>
        <v>25P-1</v>
      </c>
      <c r="L327" t="s">
        <v>1387</v>
      </c>
      <c r="M327" s="30"/>
    </row>
    <row r="328" ht="15" customHeight="1" spans="1:13" x14ac:dyDescent="0.25">
      <c r="A328">
        <v>1</v>
      </c>
      <c r="B328" t="str">
        <f>LEFT(Table_clallam_Oversight_ActiveFunds[[#This Row],[Agency]],3)</f>
        <v>235</v>
      </c>
      <c r="C328" t="s">
        <v>1386</v>
      </c>
      <c r="D328" t="s">
        <v>889</v>
      </c>
      <c r="E328" t="str">
        <f>LEFT(Table_clallam_Oversight_ActiveFunds[[#This Row],[Fund]],5)</f>
        <v>03B-1</v>
      </c>
      <c r="G328">
        <f t="shared" si="15"/>
      </c>
      <c r="K328" t="str">
        <f t="shared" si="16"/>
        <v>25Q-1</v>
      </c>
      <c r="L328" t="s">
        <v>1388</v>
      </c>
      <c r="M328" s="30"/>
    </row>
    <row r="329" ht="15" customHeight="1" spans="1:13" x14ac:dyDescent="0.25">
      <c r="A329">
        <v>1</v>
      </c>
      <c r="B329" t="str">
        <f>LEFT(Table_clallam_Oversight_ActiveFunds[[#This Row],[Agency]],3)</f>
        <v>235</v>
      </c>
      <c r="C329" t="s">
        <v>1386</v>
      </c>
      <c r="D329" t="s">
        <v>1110</v>
      </c>
      <c r="E329" t="str">
        <f>LEFT(Table_clallam_Oversight_ActiveFunds[[#This Row],[Fund]],5)</f>
        <v>095-1</v>
      </c>
      <c r="G329">
        <f t="shared" si="15"/>
      </c>
      <c r="K329" t="str">
        <f t="shared" si="16"/>
        <v>25R-6</v>
      </c>
      <c r="L329" t="s">
        <v>1389</v>
      </c>
      <c r="M329" s="30"/>
    </row>
    <row r="330" ht="15" customHeight="1" spans="1:13" x14ac:dyDescent="0.25">
      <c r="A330">
        <v>1</v>
      </c>
      <c r="B330" t="str">
        <f>LEFT(Table_clallam_Oversight_ActiveFunds[[#This Row],[Agency]],3)</f>
        <v>235</v>
      </c>
      <c r="C330" t="s">
        <v>1386</v>
      </c>
      <c r="D330" t="s">
        <v>1223</v>
      </c>
      <c r="E330" t="str">
        <f>LEFT(Table_clallam_Oversight_ActiveFunds[[#This Row],[Fund]],5)</f>
        <v>162-1</v>
      </c>
      <c r="G330">
        <f t="shared" si="15"/>
      </c>
      <c r="K330" t="str">
        <f t="shared" si="16"/>
        <v>25V-6</v>
      </c>
      <c r="L330" t="s">
        <v>1096</v>
      </c>
      <c r="M330" s="30"/>
    </row>
    <row r="331" ht="15" customHeight="1" spans="1:13" x14ac:dyDescent="0.25">
      <c r="A331">
        <v>1</v>
      </c>
      <c r="B331" t="str">
        <f>LEFT(Table_clallam_Oversight_ActiveFunds[[#This Row],[Agency]],3)</f>
        <v>235</v>
      </c>
      <c r="C331" t="s">
        <v>1386</v>
      </c>
      <c r="D331" t="s">
        <v>1224</v>
      </c>
      <c r="E331" t="str">
        <f>LEFT(Table_clallam_Oversight_ActiveFunds[[#This Row],[Fund]],5)</f>
        <v>163-1</v>
      </c>
      <c r="G331">
        <f t="shared" si="15"/>
      </c>
      <c r="K331" t="str">
        <f t="shared" si="16"/>
        <v>25W-1</v>
      </c>
      <c r="L331" t="s">
        <v>1390</v>
      </c>
      <c r="M331" s="30"/>
    </row>
    <row r="332" ht="15" customHeight="1" spans="1:13" x14ac:dyDescent="0.25">
      <c r="A332">
        <v>1</v>
      </c>
      <c r="B332" t="str">
        <f>LEFT(Table_clallam_Oversight_ActiveFunds[[#This Row],[Agency]],3)</f>
        <v>235</v>
      </c>
      <c r="C332" t="s">
        <v>1386</v>
      </c>
      <c r="D332" t="s">
        <v>1350</v>
      </c>
      <c r="E332" t="str">
        <f>LEFT(Table_clallam_Oversight_ActiveFunds[[#This Row],[Fund]],5)</f>
        <v>21V-1</v>
      </c>
      <c r="G332">
        <f t="shared" si="15"/>
      </c>
      <c r="K332" t="str">
        <f t="shared" si="16"/>
        <v>262-1</v>
      </c>
      <c r="L332" t="s">
        <v>1391</v>
      </c>
      <c r="M332" s="30"/>
    </row>
    <row r="333" ht="15" customHeight="1" spans="1:13" x14ac:dyDescent="0.25">
      <c r="A333">
        <v>1</v>
      </c>
      <c r="B333" t="str">
        <f>LEFT(Table_clallam_Oversight_ActiveFunds[[#This Row],[Agency]],3)</f>
        <v>235</v>
      </c>
      <c r="C333" t="s">
        <v>1386</v>
      </c>
      <c r="D333" t="s">
        <v>1362</v>
      </c>
      <c r="E333" t="str">
        <f>LEFT(Table_clallam_Oversight_ActiveFunds[[#This Row],[Fund]],5)</f>
        <v>234-1</v>
      </c>
      <c r="G333">
        <f t="shared" si="15"/>
      </c>
      <c r="K333" t="str">
        <f t="shared" si="16"/>
        <v>263-1</v>
      </c>
      <c r="L333" t="s">
        <v>1146</v>
      </c>
      <c r="M333" s="30"/>
    </row>
    <row r="334" ht="15" customHeight="1" spans="1:13" x14ac:dyDescent="0.25">
      <c r="A334">
        <v>1</v>
      </c>
      <c r="B334" t="str">
        <f>LEFT(Table_clallam_Oversight_ActiveFunds[[#This Row],[Agency]],3)</f>
        <v>235</v>
      </c>
      <c r="C334" t="s">
        <v>1386</v>
      </c>
      <c r="D334" t="s">
        <v>1391</v>
      </c>
      <c r="E334" t="str">
        <f>LEFT(Table_clallam_Oversight_ActiveFunds[[#This Row],[Fund]],5)</f>
        <v>262-1</v>
      </c>
      <c r="G334">
        <f t="shared" si="15"/>
      </c>
      <c r="K334" t="str">
        <f t="shared" si="16"/>
        <v>267-1</v>
      </c>
      <c r="L334" t="s">
        <v>1392</v>
      </c>
      <c r="M334" s="30"/>
    </row>
    <row r="335" ht="15" customHeight="1" spans="1:13" x14ac:dyDescent="0.25">
      <c r="A335">
        <v>1</v>
      </c>
      <c r="B335" t="str">
        <f>LEFT(Table_clallam_Oversight_ActiveFunds[[#This Row],[Agency]],3)</f>
        <v>235</v>
      </c>
      <c r="C335" t="s">
        <v>1386</v>
      </c>
      <c r="D335" t="s">
        <v>1393</v>
      </c>
      <c r="E335" t="str">
        <f>LEFT(Table_clallam_Oversight_ActiveFunds[[#This Row],[Fund]],5)</f>
        <v>27D-6</v>
      </c>
      <c r="G335">
        <f t="shared" si="15"/>
      </c>
      <c r="K335" t="str">
        <f t="shared" si="16"/>
        <v>268-1</v>
      </c>
      <c r="L335" t="s">
        <v>1394</v>
      </c>
      <c r="M335" s="30"/>
    </row>
    <row r="336" ht="15" customHeight="1" spans="1:13" x14ac:dyDescent="0.25">
      <c r="A336">
        <v>1</v>
      </c>
      <c r="B336" t="str">
        <f>LEFT(Table_clallam_Oversight_ActiveFunds[[#This Row],[Agency]],3)</f>
        <v>235</v>
      </c>
      <c r="C336" t="s">
        <v>1386</v>
      </c>
      <c r="D336" t="s">
        <v>1395</v>
      </c>
      <c r="E336" t="str">
        <f>LEFT(Table_clallam_Oversight_ActiveFunds[[#This Row],[Fund]],5)</f>
        <v>445-6</v>
      </c>
      <c r="G336">
        <f t="shared" si="15"/>
      </c>
      <c r="K336" t="str">
        <f t="shared" si="16"/>
        <v>269-1</v>
      </c>
      <c r="L336" t="s">
        <v>1396</v>
      </c>
      <c r="M336" s="30"/>
    </row>
    <row r="337" ht="15" customHeight="1" spans="1:13" x14ac:dyDescent="0.25">
      <c r="A337">
        <v>1</v>
      </c>
      <c r="B337" t="str">
        <f>LEFT(Table_clallam_Oversight_ActiveFunds[[#This Row],[Agency]],3)</f>
        <v>235</v>
      </c>
      <c r="C337" t="s">
        <v>1386</v>
      </c>
      <c r="D337" t="s">
        <v>285</v>
      </c>
      <c r="E337" t="str">
        <f>LEFT(Table_clallam_Oversight_ActiveFunds[[#This Row],[Fund]],5)</f>
        <v>608-1</v>
      </c>
      <c r="G337">
        <f t="shared" si="15"/>
      </c>
      <c r="K337" t="str">
        <f t="shared" si="16"/>
        <v>269-7</v>
      </c>
      <c r="L337" t="s">
        <v>1397</v>
      </c>
      <c r="M337" s="30"/>
    </row>
    <row r="338" ht="15" customHeight="1" spans="1:13" x14ac:dyDescent="0.25">
      <c r="A338">
        <v>1</v>
      </c>
      <c r="B338" t="str">
        <f>LEFT(Table_clallam_Oversight_ActiveFunds[[#This Row],[Agency]],3)</f>
        <v>235</v>
      </c>
      <c r="C338" t="s">
        <v>1386</v>
      </c>
      <c r="D338" t="s">
        <v>1398</v>
      </c>
      <c r="E338" t="str">
        <f>LEFT(Table_clallam_Oversight_ActiveFunds[[#This Row],[Fund]],5)</f>
        <v>608-2</v>
      </c>
      <c r="G338">
        <f t="shared" si="15"/>
      </c>
      <c r="K338" t="str">
        <f t="shared" si="16"/>
        <v>26A-1</v>
      </c>
      <c r="L338" t="s">
        <v>1399</v>
      </c>
      <c r="M338" s="30"/>
    </row>
    <row r="339" ht="15" customHeight="1" spans="1:13" x14ac:dyDescent="0.25">
      <c r="A339">
        <v>1</v>
      </c>
      <c r="B339" t="str">
        <f>LEFT(Table_clallam_Oversight_ActiveFunds[[#This Row],[Agency]],3)</f>
        <v>235</v>
      </c>
      <c r="C339" t="s">
        <v>1386</v>
      </c>
      <c r="D339" t="s">
        <v>1400</v>
      </c>
      <c r="E339" t="str">
        <f>LEFT(Table_clallam_Oversight_ActiveFunds[[#This Row],[Fund]],5)</f>
        <v>608-6</v>
      </c>
      <c r="G339">
        <f t="shared" si="15"/>
      </c>
      <c r="K339" t="str">
        <f t="shared" si="16"/>
        <v>26B-1</v>
      </c>
      <c r="L339" t="s">
        <v>898</v>
      </c>
      <c r="M339" s="30"/>
    </row>
    <row r="340" ht="15" customHeight="1" spans="1:13" x14ac:dyDescent="0.25">
      <c r="A340">
        <v>1</v>
      </c>
      <c r="B340" t="str">
        <f>LEFT(Table_clallam_Oversight_ActiveFunds[[#This Row],[Agency]],3)</f>
        <v>235</v>
      </c>
      <c r="C340" t="s">
        <v>1386</v>
      </c>
      <c r="D340" t="s">
        <v>287</v>
      </c>
      <c r="E340" t="str">
        <f>LEFT(Table_clallam_Oversight_ActiveFunds[[#This Row],[Fund]],5)</f>
        <v>609-1</v>
      </c>
      <c r="G340">
        <f t="shared" si="15"/>
      </c>
      <c r="K340" t="str">
        <f t="shared" si="16"/>
        <v>26G-7</v>
      </c>
      <c r="L340" t="s">
        <v>1401</v>
      </c>
      <c r="M340" s="30"/>
    </row>
    <row r="341" ht="15" customHeight="1" spans="1:13" x14ac:dyDescent="0.25">
      <c r="A341">
        <v>1</v>
      </c>
      <c r="B341" t="str">
        <f>LEFT(Table_clallam_Oversight_ActiveFunds[[#This Row],[Agency]],3)</f>
        <v>235</v>
      </c>
      <c r="C341" t="s">
        <v>1386</v>
      </c>
      <c r="D341" t="s">
        <v>1402</v>
      </c>
      <c r="E341" t="str">
        <f>LEFT(Table_clallam_Oversight_ActiveFunds[[#This Row],[Fund]],5)</f>
        <v>609-2</v>
      </c>
      <c r="G341">
        <f t="shared" si="15"/>
      </c>
      <c r="K341" t="str">
        <f t="shared" si="16"/>
        <v>26H-1</v>
      </c>
      <c r="L341" t="s">
        <v>1002</v>
      </c>
      <c r="M341" s="30"/>
    </row>
    <row r="342" ht="15" customHeight="1" spans="1:13" x14ac:dyDescent="0.25">
      <c r="A342">
        <v>1</v>
      </c>
      <c r="B342" t="str">
        <f>LEFT(Table_clallam_Oversight_ActiveFunds[[#This Row],[Agency]],3)</f>
        <v>235</v>
      </c>
      <c r="C342" t="s">
        <v>1386</v>
      </c>
      <c r="D342" t="s">
        <v>1403</v>
      </c>
      <c r="E342" t="str">
        <f>LEFT(Table_clallam_Oversight_ActiveFunds[[#This Row],[Fund]],5)</f>
        <v>609-6</v>
      </c>
      <c r="G342">
        <f t="shared" si="15"/>
      </c>
      <c r="K342" t="str">
        <f t="shared" si="16"/>
        <v>26J-6</v>
      </c>
      <c r="L342" t="s">
        <v>1005</v>
      </c>
      <c r="M342" s="30"/>
    </row>
    <row r="343" ht="15" customHeight="1" spans="1:13" x14ac:dyDescent="0.25">
      <c r="A343">
        <v>1</v>
      </c>
      <c r="B343" t="str">
        <f>LEFT(Table_clallam_Oversight_ActiveFunds[[#This Row],[Agency]],3)</f>
        <v>235</v>
      </c>
      <c r="C343" t="s">
        <v>1386</v>
      </c>
      <c r="D343" t="s">
        <v>1404</v>
      </c>
      <c r="E343" t="str">
        <f>LEFT(Table_clallam_Oversight_ActiveFunds[[#This Row],[Fund]],5)</f>
        <v>885-1</v>
      </c>
      <c r="G343">
        <f t="shared" si="15"/>
      </c>
      <c r="K343" t="str">
        <f t="shared" si="16"/>
        <v>26M-1</v>
      </c>
      <c r="L343" t="s">
        <v>1405</v>
      </c>
      <c r="M343" s="30"/>
    </row>
    <row r="344" ht="15" customHeight="1" spans="1:13" x14ac:dyDescent="0.25">
      <c r="A344">
        <v>1</v>
      </c>
      <c r="B344" t="str">
        <f>LEFT(Table_clallam_Oversight_ActiveFunds[[#This Row],[Agency]],3)</f>
        <v>235</v>
      </c>
      <c r="C344" t="s">
        <v>1386</v>
      </c>
      <c r="D344" t="s">
        <v>1406</v>
      </c>
      <c r="E344" t="str">
        <f>LEFT(Table_clallam_Oversight_ActiveFunds[[#This Row],[Fund]],5)</f>
        <v>892-1</v>
      </c>
      <c r="G344">
        <f t="shared" si="15"/>
      </c>
      <c r="K344" t="str">
        <f t="shared" si="16"/>
        <v>26N-1</v>
      </c>
      <c r="L344" t="s">
        <v>1407</v>
      </c>
      <c r="M344" s="30"/>
    </row>
    <row r="345" ht="15" customHeight="1" spans="1:13" x14ac:dyDescent="0.25">
      <c r="A345">
        <v>1</v>
      </c>
      <c r="B345" t="str">
        <f>LEFT(Table_clallam_Oversight_ActiveFunds[[#This Row],[Agency]],3)</f>
        <v>240</v>
      </c>
      <c r="C345" t="s">
        <v>1408</v>
      </c>
      <c r="D345" t="s">
        <v>28</v>
      </c>
      <c r="E345" t="str">
        <f>LEFT(Table_clallam_Oversight_ActiveFunds[[#This Row],[Fund]],5)</f>
        <v>001-1</v>
      </c>
      <c r="G345">
        <f t="shared" si="15"/>
      </c>
      <c r="K345" t="str">
        <f t="shared" si="16"/>
        <v>26P-1</v>
      </c>
      <c r="L345" t="s">
        <v>1409</v>
      </c>
      <c r="M345" s="30"/>
    </row>
    <row r="346" ht="15" customHeight="1" spans="1:13" x14ac:dyDescent="0.25">
      <c r="A346">
        <v>1</v>
      </c>
      <c r="B346" t="str">
        <f>LEFT(Table_clallam_Oversight_ActiveFunds[[#This Row],[Agency]],3)</f>
        <v>240</v>
      </c>
      <c r="C346" t="s">
        <v>1408</v>
      </c>
      <c r="D346" t="s">
        <v>768</v>
      </c>
      <c r="E346" t="str">
        <f>LEFT(Table_clallam_Oversight_ActiveFunds[[#This Row],[Fund]],5)</f>
        <v>003-1</v>
      </c>
      <c r="G346">
        <f t="shared" si="15"/>
      </c>
      <c r="K346" t="str">
        <f t="shared" si="16"/>
        <v>26P-2</v>
      </c>
      <c r="L346" t="s">
        <v>1410</v>
      </c>
      <c r="M346" s="30"/>
    </row>
    <row r="347" ht="15" customHeight="1" spans="1:13" x14ac:dyDescent="0.25">
      <c r="A347">
        <v>1</v>
      </c>
      <c r="B347" t="str">
        <f>LEFT(Table_clallam_Oversight_ActiveFunds[[#This Row],[Agency]],3)</f>
        <v>240</v>
      </c>
      <c r="C347" t="s">
        <v>1408</v>
      </c>
      <c r="D347" t="s">
        <v>817</v>
      </c>
      <c r="E347" t="str">
        <f>LEFT(Table_clallam_Oversight_ActiveFunds[[#This Row],[Fund]],5)</f>
        <v>026-1</v>
      </c>
      <c r="G347">
        <f t="shared" si="15"/>
      </c>
      <c r="K347" t="str">
        <f t="shared" si="16"/>
        <v>26Q-1</v>
      </c>
      <c r="L347" t="s">
        <v>1169</v>
      </c>
      <c r="M347" s="30"/>
    </row>
    <row r="348" ht="15" customHeight="1" spans="1:13" x14ac:dyDescent="0.25">
      <c r="A348">
        <v>1</v>
      </c>
      <c r="B348" t="str">
        <f>LEFT(Table_clallam_Oversight_ActiveFunds[[#This Row],[Agency]],3)</f>
        <v>240</v>
      </c>
      <c r="C348" t="s">
        <v>1408</v>
      </c>
      <c r="D348" t="s">
        <v>954</v>
      </c>
      <c r="E348" t="str">
        <f>LEFT(Table_clallam_Oversight_ActiveFunds[[#This Row],[Fund]],5)</f>
        <v>04E-1</v>
      </c>
      <c r="G348">
        <f t="shared" si="15"/>
      </c>
      <c r="K348" t="str">
        <f t="shared" si="16"/>
        <v>26Q-2</v>
      </c>
      <c r="L348" t="s">
        <v>1411</v>
      </c>
      <c r="M348" s="30"/>
    </row>
    <row r="349" ht="15" customHeight="1" spans="1:13" x14ac:dyDescent="0.25">
      <c r="A349">
        <v>1</v>
      </c>
      <c r="B349" t="str">
        <f>LEFT(Table_clallam_Oversight_ActiveFunds[[#This Row],[Agency]],3)</f>
        <v>240</v>
      </c>
      <c r="C349" t="s">
        <v>1408</v>
      </c>
      <c r="D349" t="s">
        <v>958</v>
      </c>
      <c r="E349" t="str">
        <f>LEFT(Table_clallam_Oversight_ActiveFunds[[#This Row],[Fund]],5)</f>
        <v>04F-1</v>
      </c>
      <c r="G349">
        <f t="shared" si="15"/>
      </c>
      <c r="K349" t="str">
        <f t="shared" si="16"/>
        <v>26T-6</v>
      </c>
      <c r="L349" t="s">
        <v>1412</v>
      </c>
      <c r="M349" s="30"/>
    </row>
    <row r="350" ht="15" customHeight="1" spans="1:13" x14ac:dyDescent="0.25">
      <c r="A350">
        <v>1</v>
      </c>
      <c r="B350" t="str">
        <f>LEFT(Table_clallam_Oversight_ActiveFunds[[#This Row],[Agency]],3)</f>
        <v>240</v>
      </c>
      <c r="C350" t="s">
        <v>1408</v>
      </c>
      <c r="D350" t="s">
        <v>1028</v>
      </c>
      <c r="E350" t="str">
        <f>LEFT(Table_clallam_Oversight_ActiveFunds[[#This Row],[Fund]],5)</f>
        <v>06G-1</v>
      </c>
      <c r="G350">
        <f t="shared" si="15"/>
      </c>
      <c r="K350" t="str">
        <f t="shared" si="16"/>
        <v>26U-1</v>
      </c>
      <c r="L350" t="s">
        <v>1147</v>
      </c>
      <c r="M350" s="30"/>
    </row>
    <row r="351" ht="15" customHeight="1" spans="1:13" x14ac:dyDescent="0.25">
      <c r="A351">
        <v>1</v>
      </c>
      <c r="B351" t="str">
        <f>LEFT(Table_clallam_Oversight_ActiveFunds[[#This Row],[Agency]],3)</f>
        <v>240</v>
      </c>
      <c r="C351" t="s">
        <v>1408</v>
      </c>
      <c r="D351" t="s">
        <v>1035</v>
      </c>
      <c r="E351" t="str">
        <f>LEFT(Table_clallam_Oversight_ActiveFunds[[#This Row],[Fund]],5)</f>
        <v>06L-1</v>
      </c>
      <c r="G351">
        <f t="shared" si="15"/>
      </c>
      <c r="K351" t="str">
        <f t="shared" si="16"/>
        <v>27B-1</v>
      </c>
      <c r="L351" t="s">
        <v>1149</v>
      </c>
      <c r="M351" s="30"/>
    </row>
    <row r="352" ht="15" customHeight="1" spans="1:13" x14ac:dyDescent="0.25">
      <c r="A352">
        <v>1</v>
      </c>
      <c r="B352" t="str">
        <f>LEFT(Table_clallam_Oversight_ActiveFunds[[#This Row],[Agency]],3)</f>
        <v>240</v>
      </c>
      <c r="C352" t="s">
        <v>1408</v>
      </c>
      <c r="D352" t="s">
        <v>1038</v>
      </c>
      <c r="E352" t="str">
        <f>LEFT(Table_clallam_Oversight_ActiveFunds[[#This Row],[Fund]],5)</f>
        <v>06R-1</v>
      </c>
      <c r="G352">
        <f t="shared" si="15"/>
      </c>
      <c r="K352" t="str">
        <f t="shared" si="16"/>
        <v>27D-6</v>
      </c>
      <c r="L352" t="s">
        <v>1393</v>
      </c>
      <c r="M352" s="30"/>
    </row>
    <row r="353" ht="15" customHeight="1" spans="1:13" x14ac:dyDescent="0.25">
      <c r="A353">
        <v>1</v>
      </c>
      <c r="B353" t="str">
        <f>LEFT(Table_clallam_Oversight_ActiveFunds[[#This Row],[Agency]],3)</f>
        <v>240</v>
      </c>
      <c r="C353" t="s">
        <v>1408</v>
      </c>
      <c r="D353" t="s">
        <v>1200</v>
      </c>
      <c r="E353" t="str">
        <f>LEFT(Table_clallam_Oversight_ActiveFunds[[#This Row],[Fund]],5)</f>
        <v>146-1</v>
      </c>
      <c r="G353">
        <f t="shared" si="15"/>
      </c>
      <c r="K353" t="str">
        <f t="shared" si="16"/>
        <v>285-1</v>
      </c>
      <c r="L353" t="s">
        <v>1151</v>
      </c>
      <c r="M353" s="30"/>
    </row>
    <row r="354" ht="15" customHeight="1" spans="1:13" x14ac:dyDescent="0.25">
      <c r="A354">
        <v>1</v>
      </c>
      <c r="B354" t="str">
        <f>LEFT(Table_clallam_Oversight_ActiveFunds[[#This Row],[Agency]],3)</f>
        <v>240</v>
      </c>
      <c r="C354" t="s">
        <v>1408</v>
      </c>
      <c r="D354" t="s">
        <v>1218</v>
      </c>
      <c r="E354" t="str">
        <f>LEFT(Table_clallam_Oversight_ActiveFunds[[#This Row],[Fund]],5)</f>
        <v>15V-1</v>
      </c>
      <c r="G354">
        <f t="shared" si="15"/>
      </c>
      <c r="K354" t="str">
        <f t="shared" si="16"/>
        <v>297-1</v>
      </c>
      <c r="L354" t="s">
        <v>298</v>
      </c>
      <c r="M354" s="30"/>
    </row>
    <row r="355" ht="15" customHeight="1" spans="1:13" x14ac:dyDescent="0.25">
      <c r="A355">
        <v>1</v>
      </c>
      <c r="B355" t="str">
        <f>LEFT(Table_clallam_Oversight_ActiveFunds[[#This Row],[Agency]],3)</f>
        <v>240</v>
      </c>
      <c r="C355" t="s">
        <v>1408</v>
      </c>
      <c r="D355" t="s">
        <v>1220</v>
      </c>
      <c r="E355" t="str">
        <f>LEFT(Table_clallam_Oversight_ActiveFunds[[#This Row],[Fund]],5)</f>
        <v>15V-6</v>
      </c>
      <c r="G355">
        <f t="shared" si="15"/>
      </c>
      <c r="K355" t="str">
        <f t="shared" si="16"/>
        <v>297-2</v>
      </c>
      <c r="L355" t="s">
        <v>1338</v>
      </c>
      <c r="M355" s="30"/>
    </row>
    <row r="356" ht="15" customHeight="1" spans="1:13" x14ac:dyDescent="0.25">
      <c r="A356">
        <v>1</v>
      </c>
      <c r="B356" t="str">
        <f>LEFT(Table_clallam_Oversight_ActiveFunds[[#This Row],[Agency]],3)</f>
        <v>240</v>
      </c>
      <c r="C356" t="s">
        <v>1408</v>
      </c>
      <c r="D356" t="s">
        <v>1230</v>
      </c>
      <c r="E356" t="str">
        <f>LEFT(Table_clallam_Oversight_ActiveFunds[[#This Row],[Fund]],5)</f>
        <v>16B-1</v>
      </c>
      <c r="G356">
        <f t="shared" si="15"/>
      </c>
      <c r="K356" t="str">
        <f t="shared" si="16"/>
        <v>298-1</v>
      </c>
      <c r="L356" t="s">
        <v>1413</v>
      </c>
      <c r="M356" s="30"/>
    </row>
    <row r="357" ht="15" customHeight="1" spans="1:13" x14ac:dyDescent="0.25">
      <c r="A357">
        <v>1</v>
      </c>
      <c r="B357" t="str">
        <f>LEFT(Table_clallam_Oversight_ActiveFunds[[#This Row],[Agency]],3)</f>
        <v>240</v>
      </c>
      <c r="C357" t="s">
        <v>1408</v>
      </c>
      <c r="D357" t="s">
        <v>1232</v>
      </c>
      <c r="E357" t="str">
        <f>LEFT(Table_clallam_Oversight_ActiveFunds[[#This Row],[Fund]],5)</f>
        <v>16B-6</v>
      </c>
      <c r="G357">
        <f t="shared" si="15"/>
      </c>
      <c r="K357" t="str">
        <f t="shared" si="16"/>
        <v>298-6</v>
      </c>
      <c r="L357" t="s">
        <v>1414</v>
      </c>
      <c r="M357" s="30"/>
    </row>
    <row r="358" ht="15" customHeight="1" spans="1:13" x14ac:dyDescent="0.25">
      <c r="A358">
        <v>1</v>
      </c>
      <c r="B358" t="str">
        <f>LEFT(Table_clallam_Oversight_ActiveFunds[[#This Row],[Agency]],3)</f>
        <v>240</v>
      </c>
      <c r="C358" t="s">
        <v>1408</v>
      </c>
      <c r="D358" t="s">
        <v>1239</v>
      </c>
      <c r="E358" t="str">
        <f>LEFT(Table_clallam_Oversight_ActiveFunds[[#This Row],[Fund]],5)</f>
        <v>16M-1</v>
      </c>
      <c r="G358">
        <f t="shared" si="15"/>
      </c>
      <c r="K358" t="str">
        <f t="shared" si="16"/>
        <v>300-1</v>
      </c>
      <c r="L358" t="s">
        <v>1285</v>
      </c>
      <c r="M358" s="30"/>
    </row>
    <row r="359" ht="15" customHeight="1" spans="1:13" x14ac:dyDescent="0.25">
      <c r="A359">
        <v>1</v>
      </c>
      <c r="B359" t="str">
        <f>LEFT(Table_clallam_Oversight_ActiveFunds[[#This Row],[Agency]],3)</f>
        <v>240</v>
      </c>
      <c r="C359" t="s">
        <v>1408</v>
      </c>
      <c r="D359" t="s">
        <v>1240</v>
      </c>
      <c r="E359" t="str">
        <f>LEFT(Table_clallam_Oversight_ActiveFunds[[#This Row],[Fund]],5)</f>
        <v>16M-6</v>
      </c>
      <c r="G359">
        <f t="shared" si="15"/>
      </c>
      <c r="K359" t="str">
        <f t="shared" si="16"/>
        <v>300-6</v>
      </c>
      <c r="L359" t="s">
        <v>1115</v>
      </c>
      <c r="M359" s="30"/>
    </row>
    <row r="360" ht="15" customHeight="1" spans="1:13" x14ac:dyDescent="0.25">
      <c r="A360">
        <v>1</v>
      </c>
      <c r="B360" t="str">
        <f>LEFT(Table_clallam_Oversight_ActiveFunds[[#This Row],[Agency]],3)</f>
        <v>240</v>
      </c>
      <c r="C360" t="s">
        <v>1408</v>
      </c>
      <c r="D360" t="s">
        <v>1342</v>
      </c>
      <c r="E360" t="str">
        <f>LEFT(Table_clallam_Oversight_ActiveFunds[[#This Row],[Fund]],5)</f>
        <v>21E-1</v>
      </c>
      <c r="G360">
        <f t="shared" si="15"/>
      </c>
      <c r="K360" t="str">
        <f t="shared" si="16"/>
        <v>315-1</v>
      </c>
      <c r="L360" t="s">
        <v>1153</v>
      </c>
      <c r="M360" s="30"/>
    </row>
    <row r="361" ht="15" customHeight="1" spans="1:13" x14ac:dyDescent="0.25">
      <c r="A361">
        <v>1</v>
      </c>
      <c r="B361" t="str">
        <f>LEFT(Table_clallam_Oversight_ActiveFunds[[#This Row],[Agency]],3)</f>
        <v>240</v>
      </c>
      <c r="C361" t="s">
        <v>1408</v>
      </c>
      <c r="D361" t="s">
        <v>1413</v>
      </c>
      <c r="E361" t="str">
        <f>LEFT(Table_clallam_Oversight_ActiveFunds[[#This Row],[Fund]],5)</f>
        <v>298-1</v>
      </c>
      <c r="G361">
        <f t="shared" si="15"/>
      </c>
      <c r="K361" t="str">
        <f t="shared" si="16"/>
        <v>319-7</v>
      </c>
      <c r="L361" t="s">
        <v>1415</v>
      </c>
      <c r="M361" s="30"/>
    </row>
    <row r="362" ht="15" customHeight="1" spans="1:13" x14ac:dyDescent="0.25">
      <c r="A362">
        <v>1</v>
      </c>
      <c r="B362" t="str">
        <f>LEFT(Table_clallam_Oversight_ActiveFunds[[#This Row],[Agency]],3)</f>
        <v>240</v>
      </c>
      <c r="C362" t="s">
        <v>1408</v>
      </c>
      <c r="D362" t="s">
        <v>1414</v>
      </c>
      <c r="E362" t="str">
        <f>LEFT(Table_clallam_Oversight_ActiveFunds[[#This Row],[Fund]],5)</f>
        <v>298-6</v>
      </c>
      <c r="G362">
        <f t="shared" si="15"/>
      </c>
      <c r="K362" t="str">
        <f t="shared" si="16"/>
        <v>320-6</v>
      </c>
      <c r="L362" t="s">
        <v>1416</v>
      </c>
      <c r="M362" s="30"/>
    </row>
    <row r="363" ht="15" customHeight="1" spans="1:13" x14ac:dyDescent="0.25">
      <c r="A363">
        <v>1</v>
      </c>
      <c r="B363" t="str">
        <f>LEFT(Table_clallam_Oversight_ActiveFunds[[#This Row],[Agency]],3)</f>
        <v>240</v>
      </c>
      <c r="C363" t="s">
        <v>1408</v>
      </c>
      <c r="D363" t="s">
        <v>1417</v>
      </c>
      <c r="E363" t="str">
        <f>LEFT(Table_clallam_Oversight_ActiveFunds[[#This Row],[Fund]],5)</f>
        <v>513-1</v>
      </c>
      <c r="G363">
        <f t="shared" si="15"/>
      </c>
      <c r="K363" t="str">
        <f t="shared" si="16"/>
        <v>401-6</v>
      </c>
      <c r="L363" t="s">
        <v>1418</v>
      </c>
      <c r="M363" s="30"/>
    </row>
    <row r="364" ht="15" customHeight="1" spans="1:13" x14ac:dyDescent="0.25">
      <c r="A364">
        <v>1</v>
      </c>
      <c r="B364" t="str">
        <f>LEFT(Table_clallam_Oversight_ActiveFunds[[#This Row],[Agency]],3)</f>
        <v>240</v>
      </c>
      <c r="C364" t="s">
        <v>1408</v>
      </c>
      <c r="D364" t="s">
        <v>949</v>
      </c>
      <c r="E364" t="str">
        <f>LEFT(Table_clallam_Oversight_ActiveFunds[[#This Row],[Fund]],5)</f>
        <v>048-1</v>
      </c>
      <c r="G364">
        <f t="shared" si="15"/>
      </c>
      <c r="K364" t="str">
        <f t="shared" si="16"/>
        <v>404-1</v>
      </c>
      <c r="L364" t="s">
        <v>1050</v>
      </c>
      <c r="M364" s="30"/>
    </row>
    <row r="365" ht="15" customHeight="1" spans="1:13" x14ac:dyDescent="0.25">
      <c r="A365">
        <v>1</v>
      </c>
      <c r="B365" t="str">
        <f>LEFT(Table_clallam_Oversight_ActiveFunds[[#This Row],[Agency]],3)</f>
        <v>240</v>
      </c>
      <c r="C365" t="s">
        <v>1408</v>
      </c>
      <c r="D365" t="s">
        <v>1040</v>
      </c>
      <c r="E365" t="str">
        <f>LEFT(Table_clallam_Oversight_ActiveFunds[[#This Row],[Fund]],5)</f>
        <v>06T-1</v>
      </c>
      <c r="G365">
        <f t="shared" si="15"/>
      </c>
      <c r="K365" t="str">
        <f t="shared" si="16"/>
        <v>405-1</v>
      </c>
      <c r="L365" t="s">
        <v>1099</v>
      </c>
      <c r="M365" s="30"/>
    </row>
    <row r="366" ht="15" customHeight="1" spans="1:13" x14ac:dyDescent="0.25">
      <c r="A366">
        <v>1</v>
      </c>
      <c r="B366" t="str">
        <f>LEFT(Table_clallam_Oversight_ActiveFunds[[#This Row],[Agency]],3)</f>
        <v>240</v>
      </c>
      <c r="C366" t="s">
        <v>1408</v>
      </c>
      <c r="D366" t="s">
        <v>1074</v>
      </c>
      <c r="E366" t="str">
        <f>LEFT(Table_clallam_Oversight_ActiveFunds[[#This Row],[Fund]],5)</f>
        <v>082-1</v>
      </c>
      <c r="G366">
        <f t="shared" si="15"/>
      </c>
      <c r="K366" t="str">
        <f t="shared" si="16"/>
        <v>406-1</v>
      </c>
      <c r="L366" t="s">
        <v>1419</v>
      </c>
      <c r="M366" s="30"/>
    </row>
    <row r="367" ht="15" customHeight="1" spans="1:13" x14ac:dyDescent="0.25">
      <c r="A367">
        <v>1</v>
      </c>
      <c r="B367" t="str">
        <f>LEFT(Table_clallam_Oversight_ActiveFunds[[#This Row],[Agency]],3)</f>
        <v>240</v>
      </c>
      <c r="C367" t="s">
        <v>1408</v>
      </c>
      <c r="D367" t="s">
        <v>1129</v>
      </c>
      <c r="E367" t="str">
        <f>LEFT(Table_clallam_Oversight_ActiveFunds[[#This Row],[Fund]],5)</f>
        <v>104-1</v>
      </c>
      <c r="G367">
        <f t="shared" si="15"/>
      </c>
      <c r="K367" t="str">
        <f t="shared" si="16"/>
        <v>407-6</v>
      </c>
      <c r="L367" t="s">
        <v>1029</v>
      </c>
      <c r="M367" s="30"/>
    </row>
    <row r="368" ht="15" customHeight="1" spans="1:13" x14ac:dyDescent="0.25">
      <c r="A368">
        <v>1</v>
      </c>
      <c r="B368" t="str">
        <f>LEFT(Table_clallam_Oversight_ActiveFunds[[#This Row],[Agency]],3)</f>
        <v>240</v>
      </c>
      <c r="C368" t="s">
        <v>1408</v>
      </c>
      <c r="D368" t="s">
        <v>1131</v>
      </c>
      <c r="E368" t="str">
        <f>LEFT(Table_clallam_Oversight_ActiveFunds[[#This Row],[Fund]],5)</f>
        <v>106-1</v>
      </c>
      <c r="G368">
        <f t="shared" si="15"/>
      </c>
      <c r="K368" t="str">
        <f t="shared" si="16"/>
        <v>408-6</v>
      </c>
      <c r="L368" t="s">
        <v>1420</v>
      </c>
      <c r="M368" s="30"/>
    </row>
    <row r="369" ht="15" customHeight="1" spans="1:13" x14ac:dyDescent="0.25">
      <c r="A369">
        <v>1</v>
      </c>
      <c r="B369" t="str">
        <f>LEFT(Table_clallam_Oversight_ActiveFunds[[#This Row],[Agency]],3)</f>
        <v>240</v>
      </c>
      <c r="C369" t="s">
        <v>1408</v>
      </c>
      <c r="D369" t="s">
        <v>1133</v>
      </c>
      <c r="E369" t="str">
        <f>LEFT(Table_clallam_Oversight_ActiveFunds[[#This Row],[Fund]],5)</f>
        <v>106-2</v>
      </c>
      <c r="G369">
        <f t="shared" si="15"/>
      </c>
      <c r="K369" t="str">
        <f t="shared" si="16"/>
        <v>410-6</v>
      </c>
      <c r="L369" t="s">
        <v>1421</v>
      </c>
      <c r="M369" s="30"/>
    </row>
    <row r="370" ht="15" customHeight="1" spans="1:13" x14ac:dyDescent="0.25">
      <c r="A370">
        <v>1</v>
      </c>
      <c r="B370" t="str">
        <f>LEFT(Table_clallam_Oversight_ActiveFunds[[#This Row],[Agency]],3)</f>
        <v>240</v>
      </c>
      <c r="C370" t="s">
        <v>1408</v>
      </c>
      <c r="D370" t="s">
        <v>699</v>
      </c>
      <c r="E370" t="str">
        <f>LEFT(Table_clallam_Oversight_ActiveFunds[[#This Row],[Fund]],5)</f>
        <v>108-1</v>
      </c>
      <c r="G370">
        <f t="shared" si="15"/>
      </c>
      <c r="K370" t="str">
        <f t="shared" si="16"/>
        <v>413-6</v>
      </c>
      <c r="L370" t="s">
        <v>1057</v>
      </c>
      <c r="M370" s="30"/>
    </row>
    <row r="371" ht="15" customHeight="1" spans="1:13" x14ac:dyDescent="0.25">
      <c r="A371">
        <v>1</v>
      </c>
      <c r="B371" t="str">
        <f>LEFT(Table_clallam_Oversight_ActiveFunds[[#This Row],[Agency]],3)</f>
        <v>240</v>
      </c>
      <c r="C371" t="s">
        <v>1408</v>
      </c>
      <c r="D371" t="s">
        <v>1137</v>
      </c>
      <c r="E371" t="str">
        <f>LEFT(Table_clallam_Oversight_ActiveFunds[[#This Row],[Fund]],5)</f>
        <v>108-2</v>
      </c>
      <c r="G371">
        <f t="shared" si="15"/>
      </c>
      <c r="K371" t="str">
        <f t="shared" si="16"/>
        <v>415-1</v>
      </c>
      <c r="L371" t="s">
        <v>1030</v>
      </c>
      <c r="M371" s="30"/>
    </row>
    <row r="372" ht="15" customHeight="1" spans="1:13" x14ac:dyDescent="0.25">
      <c r="A372">
        <v>1</v>
      </c>
      <c r="B372" t="str">
        <f>LEFT(Table_clallam_Oversight_ActiveFunds[[#This Row],[Agency]],3)</f>
        <v>240</v>
      </c>
      <c r="C372" t="s">
        <v>1408</v>
      </c>
      <c r="D372" t="s">
        <v>1139</v>
      </c>
      <c r="E372" t="str">
        <f>LEFT(Table_clallam_Oversight_ActiveFunds[[#This Row],[Fund]],5)</f>
        <v>108-7</v>
      </c>
      <c r="G372">
        <f t="shared" si="15"/>
      </c>
      <c r="K372" t="str">
        <f t="shared" si="16"/>
        <v>418-1</v>
      </c>
      <c r="L372" t="s">
        <v>767</v>
      </c>
      <c r="M372" s="30"/>
    </row>
    <row r="373" ht="15" customHeight="1" spans="1:13" x14ac:dyDescent="0.25">
      <c r="A373">
        <v>1</v>
      </c>
      <c r="B373" t="str">
        <f>LEFT(Table_clallam_Oversight_ActiveFunds[[#This Row],[Agency]],3)</f>
        <v>240</v>
      </c>
      <c r="C373" t="s">
        <v>1408</v>
      </c>
      <c r="D373" t="s">
        <v>1208</v>
      </c>
      <c r="E373" t="str">
        <f>LEFT(Table_clallam_Oversight_ActiveFunds[[#This Row],[Fund]],5)</f>
        <v>14V-1</v>
      </c>
      <c r="G373">
        <f t="shared" si="15"/>
      </c>
      <c r="K373" t="str">
        <f t="shared" si="16"/>
        <v>421-6</v>
      </c>
      <c r="L373" t="s">
        <v>1184</v>
      </c>
      <c r="M373" s="30"/>
    </row>
    <row r="374" ht="15" customHeight="1" spans="1:13" x14ac:dyDescent="0.25">
      <c r="A374">
        <v>1</v>
      </c>
      <c r="B374" t="str">
        <f>LEFT(Table_clallam_Oversight_ActiveFunds[[#This Row],[Agency]],3)</f>
        <v>240</v>
      </c>
      <c r="C374" t="s">
        <v>1408</v>
      </c>
      <c r="D374" t="s">
        <v>1266</v>
      </c>
      <c r="E374" t="str">
        <f>LEFT(Table_clallam_Oversight_ActiveFunds[[#This Row],[Fund]],5)</f>
        <v>17W-1</v>
      </c>
      <c r="G374">
        <f t="shared" si="15"/>
      </c>
      <c r="K374" t="str">
        <f t="shared" si="16"/>
        <v>422-6</v>
      </c>
      <c r="L374" t="s">
        <v>1309</v>
      </c>
      <c r="M374" s="30"/>
    </row>
    <row r="375" ht="15" customHeight="1" spans="1:13" x14ac:dyDescent="0.25">
      <c r="A375">
        <v>1</v>
      </c>
      <c r="B375" t="str">
        <f>LEFT(Table_clallam_Oversight_ActiveFunds[[#This Row],[Agency]],3)</f>
        <v>240</v>
      </c>
      <c r="C375" t="s">
        <v>1408</v>
      </c>
      <c r="D375" t="s">
        <v>1304</v>
      </c>
      <c r="E375" t="str">
        <f>LEFT(Table_clallam_Oversight_ActiveFunds[[#This Row],[Fund]],5)</f>
        <v>19T-1</v>
      </c>
      <c r="G375">
        <f t="shared" si="15"/>
      </c>
      <c r="K375" t="str">
        <f t="shared" si="16"/>
        <v>424-6</v>
      </c>
      <c r="L375" t="s">
        <v>1102</v>
      </c>
      <c r="M375" s="30"/>
    </row>
    <row r="376" ht="15" customHeight="1" spans="1:13" x14ac:dyDescent="0.25">
      <c r="A376">
        <v>1</v>
      </c>
      <c r="B376" t="str">
        <f>LEFT(Table_clallam_Oversight_ActiveFunds[[#This Row],[Agency]],3)</f>
        <v>240</v>
      </c>
      <c r="C376" t="s">
        <v>1408</v>
      </c>
      <c r="D376" t="s">
        <v>351</v>
      </c>
      <c r="E376" t="str">
        <f>LEFT(Table_clallam_Oversight_ActiveFunds[[#This Row],[Fund]],5)</f>
        <v>201-1</v>
      </c>
      <c r="G376">
        <f t="shared" si="15"/>
      </c>
      <c r="K376" t="str">
        <f t="shared" si="16"/>
        <v>433-6</v>
      </c>
      <c r="L376" t="s">
        <v>1249</v>
      </c>
      <c r="M376" s="30"/>
    </row>
    <row r="377" ht="15" customHeight="1" spans="1:13" x14ac:dyDescent="0.25">
      <c r="A377">
        <v>1</v>
      </c>
      <c r="B377" t="str">
        <f>LEFT(Table_clallam_Oversight_ActiveFunds[[#This Row],[Agency]],3)</f>
        <v>240</v>
      </c>
      <c r="C377" t="s">
        <v>1408</v>
      </c>
      <c r="D377" t="s">
        <v>1323</v>
      </c>
      <c r="E377" t="str">
        <f>LEFT(Table_clallam_Oversight_ActiveFunds[[#This Row],[Fund]],5)</f>
        <v>20J-1</v>
      </c>
      <c r="G377">
        <f t="shared" si="15"/>
      </c>
      <c r="K377" t="str">
        <f t="shared" si="16"/>
        <v>436-6</v>
      </c>
      <c r="L377" t="s">
        <v>1186</v>
      </c>
      <c r="M377" s="30"/>
    </row>
    <row r="378" ht="15" customHeight="1" spans="1:13" x14ac:dyDescent="0.25">
      <c r="A378">
        <v>1</v>
      </c>
      <c r="B378" t="str">
        <f>LEFT(Table_clallam_Oversight_ActiveFunds[[#This Row],[Agency]],3)</f>
        <v>240</v>
      </c>
      <c r="C378" t="s">
        <v>1408</v>
      </c>
      <c r="D378" t="s">
        <v>1355</v>
      </c>
      <c r="E378" t="str">
        <f>LEFT(Table_clallam_Oversight_ActiveFunds[[#This Row],[Fund]],5)</f>
        <v>22J-1</v>
      </c>
      <c r="G378">
        <f t="shared" si="15"/>
      </c>
      <c r="K378" t="str">
        <f t="shared" si="16"/>
        <v>438-6</v>
      </c>
      <c r="L378" t="s">
        <v>1226</v>
      </c>
      <c r="M378" s="30"/>
    </row>
    <row r="379" ht="15" customHeight="1" spans="1:13" x14ac:dyDescent="0.25">
      <c r="A379">
        <v>1</v>
      </c>
      <c r="B379" t="str">
        <f>LEFT(Table_clallam_Oversight_ActiveFunds[[#This Row],[Agency]],3)</f>
        <v>240</v>
      </c>
      <c r="C379" t="s">
        <v>1408</v>
      </c>
      <c r="D379" t="s">
        <v>1377</v>
      </c>
      <c r="E379" t="str">
        <f>LEFT(Table_clallam_Oversight_ActiveFunds[[#This Row],[Fund]],5)</f>
        <v>24K-1</v>
      </c>
      <c r="G379">
        <f t="shared" si="15"/>
      </c>
      <c r="K379" t="str">
        <f t="shared" si="16"/>
        <v>439-6</v>
      </c>
      <c r="L379" t="s">
        <v>1228</v>
      </c>
      <c r="M379" s="30"/>
    </row>
    <row r="380" ht="15" customHeight="1" spans="1:13" x14ac:dyDescent="0.25">
      <c r="A380">
        <v>1</v>
      </c>
      <c r="B380" t="str">
        <f>LEFT(Table_clallam_Oversight_ActiveFunds[[#This Row],[Agency]],3)</f>
        <v>240</v>
      </c>
      <c r="C380" t="s">
        <v>1408</v>
      </c>
      <c r="D380" t="s">
        <v>1390</v>
      </c>
      <c r="E380" t="str">
        <f>LEFT(Table_clallam_Oversight_ActiveFunds[[#This Row],[Fund]],5)</f>
        <v>25W-1</v>
      </c>
      <c r="G380">
        <f t="shared" si="15"/>
      </c>
      <c r="K380" t="str">
        <f t="shared" si="16"/>
        <v>441-1</v>
      </c>
      <c r="L380" t="s">
        <v>961</v>
      </c>
      <c r="M380" s="30"/>
    </row>
    <row r="381" ht="15" customHeight="1" spans="1:13" x14ac:dyDescent="0.25">
      <c r="A381">
        <v>1</v>
      </c>
      <c r="B381" t="str">
        <f>LEFT(Table_clallam_Oversight_ActiveFunds[[#This Row],[Agency]],3)</f>
        <v>240</v>
      </c>
      <c r="C381" t="s">
        <v>1408</v>
      </c>
      <c r="D381" t="s">
        <v>1169</v>
      </c>
      <c r="E381" t="str">
        <f>LEFT(Table_clallam_Oversight_ActiveFunds[[#This Row],[Fund]],5)</f>
        <v>26Q-1</v>
      </c>
      <c r="G381">
        <f t="shared" si="15"/>
      </c>
      <c r="K381" t="str">
        <f t="shared" si="16"/>
        <v>442-6</v>
      </c>
      <c r="L381" t="s">
        <v>792</v>
      </c>
      <c r="M381" s="30"/>
    </row>
    <row r="382" ht="15" customHeight="1" spans="1:13" x14ac:dyDescent="0.25">
      <c r="A382">
        <v>1</v>
      </c>
      <c r="B382" t="str">
        <f>LEFT(Table_clallam_Oversight_ActiveFunds[[#This Row],[Agency]],3)</f>
        <v>245</v>
      </c>
      <c r="C382" t="s">
        <v>1422</v>
      </c>
      <c r="D382" t="s">
        <v>28</v>
      </c>
      <c r="E382" t="str">
        <f>LEFT(Table_clallam_Oversight_ActiveFunds[[#This Row],[Fund]],5)</f>
        <v>001-1</v>
      </c>
      <c r="G382">
        <f t="shared" si="15"/>
      </c>
      <c r="K382" t="str">
        <f t="shared" si="16"/>
        <v>443-6</v>
      </c>
      <c r="L382" t="s">
        <v>1423</v>
      </c>
      <c r="M382" s="30"/>
    </row>
    <row r="383" ht="15" customHeight="1" spans="1:13" x14ac:dyDescent="0.25">
      <c r="A383">
        <v>1</v>
      </c>
      <c r="B383" t="str">
        <f>LEFT(Table_clallam_Oversight_ActiveFunds[[#This Row],[Agency]],3)</f>
        <v>245</v>
      </c>
      <c r="C383" t="s">
        <v>1422</v>
      </c>
      <c r="D383" t="s">
        <v>144</v>
      </c>
      <c r="E383" t="str">
        <f>LEFT(Table_clallam_Oversight_ActiveFunds[[#This Row],[Fund]],5)</f>
        <v>001-2</v>
      </c>
      <c r="G383">
        <f t="shared" si="15"/>
      </c>
      <c r="K383" t="str">
        <f t="shared" si="16"/>
        <v>444-6</v>
      </c>
      <c r="L383" t="s">
        <v>1424</v>
      </c>
      <c r="M383" s="30"/>
    </row>
    <row r="384" ht="15" customHeight="1" spans="1:13" x14ac:dyDescent="0.25">
      <c r="A384">
        <v>1</v>
      </c>
      <c r="B384" t="str">
        <f>LEFT(Table_clallam_Oversight_ActiveFunds[[#This Row],[Agency]],3)</f>
        <v>245</v>
      </c>
      <c r="C384" t="s">
        <v>1422</v>
      </c>
      <c r="D384" t="s">
        <v>737</v>
      </c>
      <c r="E384" t="str">
        <f>LEFT(Table_clallam_Oversight_ActiveFunds[[#This Row],[Fund]],5)</f>
        <v>001-H</v>
      </c>
      <c r="G384">
        <f t="shared" si="15"/>
      </c>
      <c r="K384" t="str">
        <f t="shared" si="16"/>
        <v>445-6</v>
      </c>
      <c r="L384" t="s">
        <v>1395</v>
      </c>
      <c r="M384" s="30"/>
    </row>
    <row r="385" ht="15" customHeight="1" spans="1:13" x14ac:dyDescent="0.25">
      <c r="A385">
        <v>1</v>
      </c>
      <c r="B385" t="str">
        <f>LEFT(Table_clallam_Oversight_ActiveFunds[[#This Row],[Agency]],3)</f>
        <v>245</v>
      </c>
      <c r="C385" t="s">
        <v>1422</v>
      </c>
      <c r="D385" t="s">
        <v>900</v>
      </c>
      <c r="E385" t="str">
        <f>LEFT(Table_clallam_Oversight_ActiveFunds[[#This Row],[Fund]],5)</f>
        <v>03F-1</v>
      </c>
      <c r="G385">
        <f t="shared" si="15"/>
      </c>
      <c r="K385" t="str">
        <f t="shared" si="16"/>
        <v>447-6</v>
      </c>
      <c r="L385" t="s">
        <v>966</v>
      </c>
      <c r="M385" s="30"/>
    </row>
    <row r="386" ht="15" customHeight="1" spans="1:13" x14ac:dyDescent="0.25">
      <c r="A386">
        <v>1</v>
      </c>
      <c r="B386" t="str">
        <f>LEFT(Table_clallam_Oversight_ActiveFunds[[#This Row],[Agency]],3)</f>
        <v>245</v>
      </c>
      <c r="C386" t="s">
        <v>1422</v>
      </c>
      <c r="D386" t="s">
        <v>997</v>
      </c>
      <c r="E386" t="str">
        <f>LEFT(Table_clallam_Oversight_ActiveFunds[[#This Row],[Fund]],5)</f>
        <v>05H-1</v>
      </c>
      <c r="G386">
        <f t="shared" si="15"/>
      </c>
      <c r="K386" t="str">
        <f t="shared" si="16"/>
        <v>453-1</v>
      </c>
      <c r="L386" t="s">
        <v>1289</v>
      </c>
      <c r="M386" s="30"/>
    </row>
    <row r="387" ht="15" customHeight="1" spans="1:13" x14ac:dyDescent="0.25">
      <c r="A387">
        <v>1</v>
      </c>
      <c r="B387" t="str">
        <f>LEFT(Table_clallam_Oversight_ActiveFunds[[#This Row],[Agency]],3)</f>
        <v>245</v>
      </c>
      <c r="C387" t="s">
        <v>1422</v>
      </c>
      <c r="D387" t="s">
        <v>1000</v>
      </c>
      <c r="E387" t="str">
        <f>LEFT(Table_clallam_Oversight_ActiveFunds[[#This Row],[Fund]],5)</f>
        <v>05H-2</v>
      </c>
      <c r="G387">
        <f t="shared" si="15"/>
      </c>
      <c r="K387" t="str">
        <f t="shared" si="16"/>
        <v>455-1</v>
      </c>
      <c r="L387" t="s">
        <v>1188</v>
      </c>
      <c r="M387" s="30"/>
    </row>
    <row r="388" ht="15" customHeight="1" spans="1:13" x14ac:dyDescent="0.25">
      <c r="A388">
        <v>1</v>
      </c>
      <c r="B388" t="str">
        <f>LEFT(Table_clallam_Oversight_ActiveFunds[[#This Row],[Agency]],3)</f>
        <v>245</v>
      </c>
      <c r="C388" t="s">
        <v>1422</v>
      </c>
      <c r="D388" t="s">
        <v>1089</v>
      </c>
      <c r="E388" t="str">
        <f>LEFT(Table_clallam_Oversight_ActiveFunds[[#This Row],[Fund]],5)</f>
        <v>08H-1</v>
      </c>
      <c r="G388">
        <f t="shared" si="15"/>
      </c>
      <c r="K388" t="str">
        <f t="shared" si="16"/>
        <v>458-1</v>
      </c>
      <c r="L388" t="s">
        <v>1298</v>
      </c>
      <c r="M388" s="30"/>
    </row>
    <row r="389" ht="15" customHeight="1" spans="1:13" x14ac:dyDescent="0.25">
      <c r="A389">
        <v>1</v>
      </c>
      <c r="B389" t="str">
        <f>LEFT(Table_clallam_Oversight_ActiveFunds[[#This Row],[Agency]],3)</f>
        <v>245</v>
      </c>
      <c r="C389" t="s">
        <v>1422</v>
      </c>
      <c r="D389" t="s">
        <v>1207</v>
      </c>
      <c r="E389" t="str">
        <f>LEFT(Table_clallam_Oversight_ActiveFunds[[#This Row],[Fund]],5)</f>
        <v>14R-1</v>
      </c>
      <c r="G389">
        <f t="shared" ref="G389:G452" si="17">LEFT(I389,3)</f>
      </c>
      <c r="K389" t="str">
        <f t="shared" ref="K389:K452" si="18">MID(L389,1,5)</f>
        <v>458-6</v>
      </c>
      <c r="L389" t="s">
        <v>1300</v>
      </c>
      <c r="M389" s="30"/>
    </row>
    <row r="390" ht="15" customHeight="1" spans="1:13" x14ac:dyDescent="0.25">
      <c r="A390">
        <v>1</v>
      </c>
      <c r="B390" t="str">
        <f>LEFT(Table_clallam_Oversight_ActiveFunds[[#This Row],[Agency]],3)</f>
        <v>245</v>
      </c>
      <c r="C390" t="s">
        <v>1422</v>
      </c>
      <c r="D390" t="s">
        <v>1224</v>
      </c>
      <c r="E390" t="str">
        <f>LEFT(Table_clallam_Oversight_ActiveFunds[[#This Row],[Fund]],5)</f>
        <v>163-1</v>
      </c>
      <c r="G390">
        <f t="shared" si="17"/>
      </c>
      <c r="K390" t="str">
        <f t="shared" si="18"/>
        <v>463-6</v>
      </c>
      <c r="L390" t="s">
        <v>1425</v>
      </c>
      <c r="M390" s="30"/>
    </row>
    <row r="391" ht="15" customHeight="1" spans="1:13" x14ac:dyDescent="0.25">
      <c r="A391">
        <v>1</v>
      </c>
      <c r="B391" t="str">
        <f>LEFT(Table_clallam_Oversight_ActiveFunds[[#This Row],[Agency]],3)</f>
        <v>245</v>
      </c>
      <c r="C391" t="s">
        <v>1422</v>
      </c>
      <c r="D391" t="s">
        <v>1336</v>
      </c>
      <c r="E391" t="str">
        <f>LEFT(Table_clallam_Oversight_ActiveFunds[[#This Row],[Fund]],5)</f>
        <v>217-1</v>
      </c>
      <c r="G391">
        <f t="shared" si="17"/>
      </c>
      <c r="K391" t="str">
        <f t="shared" si="18"/>
        <v>466-1</v>
      </c>
      <c r="L391" t="s">
        <v>1190</v>
      </c>
      <c r="M391" s="30"/>
    </row>
    <row r="392" ht="15" customHeight="1" spans="1:13" x14ac:dyDescent="0.25">
      <c r="A392">
        <v>1</v>
      </c>
      <c r="B392" t="str">
        <f>LEFT(Table_clallam_Oversight_ActiveFunds[[#This Row],[Agency]],3)</f>
        <v>275</v>
      </c>
      <c r="C392" t="s">
        <v>1426</v>
      </c>
      <c r="D392" t="s">
        <v>28</v>
      </c>
      <c r="E392" t="str">
        <f>LEFT(Table_clallam_Oversight_ActiveFunds[[#This Row],[Fund]],5)</f>
        <v>001-1</v>
      </c>
      <c r="G392">
        <f t="shared" si="17"/>
      </c>
      <c r="K392" t="str">
        <f t="shared" si="18"/>
        <v>468-1</v>
      </c>
      <c r="L392" t="s">
        <v>188</v>
      </c>
      <c r="M392" s="30"/>
    </row>
    <row r="393" ht="15" customHeight="1" spans="1:13" x14ac:dyDescent="0.25">
      <c r="A393">
        <v>1</v>
      </c>
      <c r="B393" t="str">
        <f>LEFT(Table_clallam_Oversight_ActiveFunds[[#This Row],[Agency]],3)</f>
        <v>275</v>
      </c>
      <c r="C393" t="s">
        <v>1426</v>
      </c>
      <c r="D393" t="s">
        <v>1030</v>
      </c>
      <c r="E393" t="str">
        <f>LEFT(Table_clallam_Oversight_ActiveFunds[[#This Row],[Fund]],5)</f>
        <v>415-1</v>
      </c>
      <c r="G393">
        <f t="shared" si="17"/>
      </c>
      <c r="K393" t="str">
        <f t="shared" si="18"/>
        <v>470-6</v>
      </c>
      <c r="L393" t="s">
        <v>1033</v>
      </c>
      <c r="M393" s="30"/>
    </row>
    <row r="394" ht="15" customHeight="1" spans="1:13" x14ac:dyDescent="0.25">
      <c r="A394">
        <v>1</v>
      </c>
      <c r="B394" t="str">
        <f>LEFT(Table_clallam_Oversight_ActiveFunds[[#This Row],[Agency]],3)</f>
        <v>275</v>
      </c>
      <c r="C394" t="s">
        <v>1426</v>
      </c>
      <c r="D394" t="s">
        <v>1188</v>
      </c>
      <c r="E394" t="str">
        <f>LEFT(Table_clallam_Oversight_ActiveFunds[[#This Row],[Fund]],5)</f>
        <v>455-1</v>
      </c>
      <c r="G394">
        <f t="shared" si="17"/>
      </c>
      <c r="K394" t="str">
        <f t="shared" si="18"/>
        <v>471-6</v>
      </c>
      <c r="L394" t="s">
        <v>1369</v>
      </c>
      <c r="M394" s="30"/>
    </row>
    <row r="395" ht="15" customHeight="1" spans="1:13" x14ac:dyDescent="0.25">
      <c r="A395">
        <v>1</v>
      </c>
      <c r="B395" t="str">
        <f>LEFT(Table_clallam_Oversight_ActiveFunds[[#This Row],[Agency]],3)</f>
        <v>300</v>
      </c>
      <c r="C395" t="s">
        <v>1427</v>
      </c>
      <c r="D395" t="s">
        <v>28</v>
      </c>
      <c r="E395" t="str">
        <f>LEFT(Table_clallam_Oversight_ActiveFunds[[#This Row],[Fund]],5)</f>
        <v>001-1</v>
      </c>
      <c r="G395">
        <f t="shared" si="17"/>
      </c>
      <c r="K395" t="str">
        <f t="shared" si="18"/>
        <v>472-1</v>
      </c>
      <c r="L395" t="s">
        <v>1193</v>
      </c>
      <c r="M395" s="30"/>
    </row>
    <row r="396" ht="15" customHeight="1" spans="1:13" x14ac:dyDescent="0.25">
      <c r="A396">
        <v>1</v>
      </c>
      <c r="B396" t="str">
        <f>LEFT(Table_clallam_Oversight_ActiveFunds[[#This Row],[Agency]],3)</f>
        <v>300</v>
      </c>
      <c r="C396" t="s">
        <v>1427</v>
      </c>
      <c r="D396" t="s">
        <v>144</v>
      </c>
      <c r="E396" t="str">
        <f>LEFT(Table_clallam_Oversight_ActiveFunds[[#This Row],[Fund]],5)</f>
        <v>001-2</v>
      </c>
      <c r="G396">
        <f t="shared" si="17"/>
      </c>
      <c r="K396" t="str">
        <f t="shared" si="18"/>
        <v>472-6</v>
      </c>
      <c r="L396" t="s">
        <v>1195</v>
      </c>
      <c r="M396" s="30"/>
    </row>
    <row r="397" ht="15" customHeight="1" spans="1:13" x14ac:dyDescent="0.25">
      <c r="A397">
        <v>1</v>
      </c>
      <c r="B397" t="str">
        <f>LEFT(Table_clallam_Oversight_ActiveFunds[[#This Row],[Agency]],3)</f>
        <v>300</v>
      </c>
      <c r="C397" t="s">
        <v>1427</v>
      </c>
      <c r="D397" t="s">
        <v>712</v>
      </c>
      <c r="E397" t="str">
        <f>LEFT(Table_clallam_Oversight_ActiveFunds[[#This Row],[Fund]],5)</f>
        <v>001-7</v>
      </c>
      <c r="G397">
        <f t="shared" si="17"/>
      </c>
      <c r="K397" t="str">
        <f t="shared" si="18"/>
        <v>474-6</v>
      </c>
      <c r="L397" t="s">
        <v>1229</v>
      </c>
      <c r="M397" s="30"/>
    </row>
    <row r="398" ht="15" customHeight="1" spans="1:13" x14ac:dyDescent="0.25">
      <c r="A398">
        <v>1</v>
      </c>
      <c r="B398" t="str">
        <f>LEFT(Table_clallam_Oversight_ActiveFunds[[#This Row],[Agency]],3)</f>
        <v>300</v>
      </c>
      <c r="C398" t="s">
        <v>1427</v>
      </c>
      <c r="D398" t="s">
        <v>719</v>
      </c>
      <c r="E398" t="str">
        <f>LEFT(Table_clallam_Oversight_ActiveFunds[[#This Row],[Fund]],5)</f>
        <v>001-A</v>
      </c>
      <c r="G398">
        <f t="shared" si="17"/>
      </c>
      <c r="K398" t="str">
        <f t="shared" si="18"/>
        <v>475-6</v>
      </c>
      <c r="L398" t="s">
        <v>1231</v>
      </c>
      <c r="M398" s="30"/>
    </row>
    <row r="399" ht="15" customHeight="1" spans="1:13" x14ac:dyDescent="0.25">
      <c r="A399">
        <v>1</v>
      </c>
      <c r="B399" t="str">
        <f>LEFT(Table_clallam_Oversight_ActiveFunds[[#This Row],[Agency]],3)</f>
        <v>300</v>
      </c>
      <c r="C399" t="s">
        <v>1427</v>
      </c>
      <c r="D399" t="s">
        <v>725</v>
      </c>
      <c r="E399" t="str">
        <f>LEFT(Table_clallam_Oversight_ActiveFunds[[#This Row],[Fund]],5)</f>
        <v>001-C</v>
      </c>
      <c r="G399">
        <f t="shared" si="17"/>
      </c>
      <c r="K399" t="str">
        <f t="shared" si="18"/>
        <v>480-6</v>
      </c>
      <c r="L399" t="s">
        <v>1428</v>
      </c>
      <c r="M399" s="30"/>
    </row>
    <row r="400" ht="15" customHeight="1" spans="1:13" x14ac:dyDescent="0.25">
      <c r="A400">
        <v>1</v>
      </c>
      <c r="B400" t="str">
        <f>LEFT(Table_clallam_Oversight_ActiveFunds[[#This Row],[Agency]],3)</f>
        <v>300</v>
      </c>
      <c r="C400" t="s">
        <v>1427</v>
      </c>
      <c r="D400" t="s">
        <v>731</v>
      </c>
      <c r="E400" t="str">
        <f>LEFT(Table_clallam_Oversight_ActiveFunds[[#This Row],[Fund]],5)</f>
        <v>001-D</v>
      </c>
      <c r="G400">
        <f t="shared" si="17"/>
      </c>
      <c r="K400" t="str">
        <f t="shared" si="18"/>
        <v>483-1</v>
      </c>
      <c r="L400" t="s">
        <v>1060</v>
      </c>
      <c r="M400" s="30"/>
    </row>
    <row r="401" ht="15" customHeight="1" spans="1:13" x14ac:dyDescent="0.25">
      <c r="A401">
        <v>1</v>
      </c>
      <c r="B401" t="str">
        <f>LEFT(Table_clallam_Oversight_ActiveFunds[[#This Row],[Agency]],3)</f>
        <v>300</v>
      </c>
      <c r="C401" t="s">
        <v>1427</v>
      </c>
      <c r="D401" t="s">
        <v>737</v>
      </c>
      <c r="E401" t="str">
        <f>LEFT(Table_clallam_Oversight_ActiveFunds[[#This Row],[Fund]],5)</f>
        <v>001-H</v>
      </c>
      <c r="G401">
        <f t="shared" si="17"/>
      </c>
      <c r="K401" t="str">
        <f t="shared" si="18"/>
        <v>484-1</v>
      </c>
      <c r="L401" t="s">
        <v>1246</v>
      </c>
      <c r="M401" s="30"/>
    </row>
    <row r="402" ht="15" customHeight="1" spans="1:13" x14ac:dyDescent="0.25">
      <c r="A402">
        <v>1</v>
      </c>
      <c r="B402" t="str">
        <f>LEFT(Table_clallam_Oversight_ActiveFunds[[#This Row],[Agency]],3)</f>
        <v>300</v>
      </c>
      <c r="C402" t="s">
        <v>1427</v>
      </c>
      <c r="D402" t="s">
        <v>743</v>
      </c>
      <c r="E402" t="str">
        <f>LEFT(Table_clallam_Oversight_ActiveFunds[[#This Row],[Fund]],5)</f>
        <v>001-W</v>
      </c>
      <c r="G402">
        <f t="shared" si="17"/>
      </c>
      <c r="K402" t="str">
        <f t="shared" si="18"/>
        <v>484-7</v>
      </c>
      <c r="L402" t="s">
        <v>1247</v>
      </c>
      <c r="M402" s="30"/>
    </row>
    <row r="403" ht="15" customHeight="1" spans="1:13" x14ac:dyDescent="0.25">
      <c r="A403">
        <v>1</v>
      </c>
      <c r="B403" t="str">
        <f>LEFT(Table_clallam_Oversight_ActiveFunds[[#This Row],[Agency]],3)</f>
        <v>300</v>
      </c>
      <c r="C403" t="s">
        <v>1427</v>
      </c>
      <c r="D403" t="s">
        <v>748</v>
      </c>
      <c r="E403" t="str">
        <f>LEFT(Table_clallam_Oversight_ActiveFunds[[#This Row],[Fund]],5)</f>
        <v>001-X</v>
      </c>
      <c r="G403">
        <f t="shared" si="17"/>
      </c>
      <c r="K403" t="str">
        <f t="shared" si="18"/>
        <v>485-6</v>
      </c>
      <c r="L403" t="s">
        <v>1316</v>
      </c>
      <c r="M403" s="30"/>
    </row>
    <row r="404" ht="15" customHeight="1" spans="1:13" x14ac:dyDescent="0.25">
      <c r="A404">
        <v>1</v>
      </c>
      <c r="B404" t="str">
        <f>LEFT(Table_clallam_Oversight_ActiveFunds[[#This Row],[Agency]],3)</f>
        <v>300</v>
      </c>
      <c r="C404" t="s">
        <v>1427</v>
      </c>
      <c r="D404" t="s">
        <v>753</v>
      </c>
      <c r="E404" t="str">
        <f>LEFT(Table_clallam_Oversight_ActiveFunds[[#This Row],[Fund]],5)</f>
        <v>001-Y</v>
      </c>
      <c r="G404">
        <f t="shared" si="17"/>
      </c>
      <c r="K404" t="str">
        <f t="shared" si="18"/>
        <v>489-1</v>
      </c>
      <c r="L404" t="s">
        <v>1429</v>
      </c>
      <c r="M404" s="30"/>
    </row>
    <row r="405" ht="15" customHeight="1" spans="1:13" x14ac:dyDescent="0.25">
      <c r="A405">
        <v>1</v>
      </c>
      <c r="B405" t="str">
        <f>LEFT(Table_clallam_Oversight_ActiveFunds[[#This Row],[Agency]],3)</f>
        <v>300</v>
      </c>
      <c r="C405" t="s">
        <v>1427</v>
      </c>
      <c r="D405" t="s">
        <v>758</v>
      </c>
      <c r="E405" t="str">
        <f>LEFT(Table_clallam_Oversight_ActiveFunds[[#This Row],[Fund]],5)</f>
        <v>001-Z</v>
      </c>
      <c r="G405">
        <f t="shared" si="17"/>
      </c>
      <c r="K405" t="str">
        <f t="shared" si="18"/>
        <v>492-1</v>
      </c>
      <c r="L405" t="s">
        <v>771</v>
      </c>
      <c r="M405" s="30"/>
    </row>
    <row r="406" ht="15" customHeight="1" spans="1:13" x14ac:dyDescent="0.25">
      <c r="A406">
        <v>1</v>
      </c>
      <c r="B406" t="str">
        <f>LEFT(Table_clallam_Oversight_ActiveFunds[[#This Row],[Agency]],3)</f>
        <v>300</v>
      </c>
      <c r="C406" t="s">
        <v>1427</v>
      </c>
      <c r="D406" t="s">
        <v>1062</v>
      </c>
      <c r="E406" t="str">
        <f>LEFT(Table_clallam_Oversight_ActiveFunds[[#This Row],[Fund]],5)</f>
        <v>07W-1</v>
      </c>
      <c r="G406">
        <f t="shared" si="17"/>
      </c>
      <c r="K406" t="str">
        <f t="shared" si="18"/>
        <v>492-6</v>
      </c>
      <c r="L406" t="s">
        <v>1234</v>
      </c>
      <c r="M406" s="30"/>
    </row>
    <row r="407" ht="15" customHeight="1" spans="1:13" x14ac:dyDescent="0.25">
      <c r="A407">
        <v>1</v>
      </c>
      <c r="B407" t="str">
        <f>LEFT(Table_clallam_Oversight_ActiveFunds[[#This Row],[Agency]],3)</f>
        <v>300</v>
      </c>
      <c r="C407" t="s">
        <v>1427</v>
      </c>
      <c r="D407" t="s">
        <v>1187</v>
      </c>
      <c r="E407" t="str">
        <f>LEFT(Table_clallam_Oversight_ActiveFunds[[#This Row],[Fund]],5)</f>
        <v>12T-1</v>
      </c>
      <c r="G407">
        <f t="shared" si="17"/>
      </c>
      <c r="K407" t="str">
        <f t="shared" si="18"/>
        <v>493-6</v>
      </c>
      <c r="L407" t="s">
        <v>1236</v>
      </c>
      <c r="M407" s="30"/>
    </row>
    <row r="408" ht="15" customHeight="1" spans="1:13" x14ac:dyDescent="0.25">
      <c r="A408">
        <v>1</v>
      </c>
      <c r="B408" t="str">
        <f>LEFT(Table_clallam_Oversight_ActiveFunds[[#This Row],[Agency]],3)</f>
        <v>300</v>
      </c>
      <c r="C408" t="s">
        <v>1427</v>
      </c>
      <c r="D408" t="s">
        <v>1189</v>
      </c>
      <c r="E408" t="str">
        <f>LEFT(Table_clallam_Oversight_ActiveFunds[[#This Row],[Fund]],5)</f>
        <v>12T-6</v>
      </c>
      <c r="G408">
        <f t="shared" si="17"/>
      </c>
      <c r="K408" t="str">
        <f t="shared" si="18"/>
        <v>494-6</v>
      </c>
      <c r="L408" t="s">
        <v>1238</v>
      </c>
      <c r="M408" s="30"/>
    </row>
    <row r="409" ht="15" customHeight="1" spans="1:13" x14ac:dyDescent="0.25">
      <c r="A409">
        <v>1</v>
      </c>
      <c r="B409" t="str">
        <f>LEFT(Table_clallam_Oversight_ActiveFunds[[#This Row],[Agency]],3)</f>
        <v>300</v>
      </c>
      <c r="C409" t="s">
        <v>1427</v>
      </c>
      <c r="D409" t="s">
        <v>1430</v>
      </c>
      <c r="E409" t="str">
        <f>LEFT(Table_clallam_Oversight_ActiveFunds[[#This Row],[Fund]],5)</f>
        <v>562-1</v>
      </c>
      <c r="G409">
        <f t="shared" si="17"/>
      </c>
      <c r="K409" t="str">
        <f t="shared" si="18"/>
        <v>496-6</v>
      </c>
      <c r="L409" t="s">
        <v>1431</v>
      </c>
      <c r="M409" s="30"/>
    </row>
    <row r="410" ht="15" customHeight="1" spans="1:13" x14ac:dyDescent="0.25">
      <c r="A410">
        <v>1</v>
      </c>
      <c r="B410" t="str">
        <f>LEFT(Table_clallam_Oversight_ActiveFunds[[#This Row],[Agency]],3)</f>
        <v>300</v>
      </c>
      <c r="C410" t="s">
        <v>1427</v>
      </c>
      <c r="D410" t="s">
        <v>1432</v>
      </c>
      <c r="E410" t="str">
        <f>LEFT(Table_clallam_Oversight_ActiveFunds[[#This Row],[Fund]],5)</f>
        <v>567-1</v>
      </c>
      <c r="G410">
        <f t="shared" si="17"/>
      </c>
      <c r="K410" t="str">
        <f t="shared" si="18"/>
        <v>497-6</v>
      </c>
      <c r="L410" t="s">
        <v>1318</v>
      </c>
      <c r="M410" s="30"/>
    </row>
    <row r="411" ht="15" customHeight="1" spans="1:13" x14ac:dyDescent="0.25">
      <c r="A411">
        <v>1</v>
      </c>
      <c r="B411" t="str">
        <f>LEFT(Table_clallam_Oversight_ActiveFunds[[#This Row],[Agency]],3)</f>
        <v>300</v>
      </c>
      <c r="C411" t="s">
        <v>1427</v>
      </c>
      <c r="D411" t="s">
        <v>971</v>
      </c>
      <c r="E411" t="str">
        <f>LEFT(Table_clallam_Oversight_ActiveFunds[[#This Row],[Fund]],5)</f>
        <v>706-2</v>
      </c>
      <c r="G411">
        <f t="shared" si="17"/>
      </c>
      <c r="K411" t="str">
        <f t="shared" si="18"/>
        <v>501-1</v>
      </c>
      <c r="L411" t="s">
        <v>1155</v>
      </c>
      <c r="M411" s="30"/>
    </row>
    <row r="412" ht="15" customHeight="1" spans="1:13" x14ac:dyDescent="0.25">
      <c r="A412">
        <v>1</v>
      </c>
      <c r="B412" t="str">
        <f>LEFT(Table_clallam_Oversight_ActiveFunds[[#This Row],[Agency]],3)</f>
        <v>300</v>
      </c>
      <c r="C412" t="s">
        <v>1427</v>
      </c>
      <c r="D412" t="s">
        <v>1433</v>
      </c>
      <c r="E412" t="str">
        <f>LEFT(Table_clallam_Oversight_ActiveFunds[[#This Row],[Fund]],5)</f>
        <v>851-1</v>
      </c>
      <c r="G412">
        <f t="shared" si="17"/>
      </c>
      <c r="K412" t="str">
        <f t="shared" si="18"/>
        <v>503-6</v>
      </c>
      <c r="L412" t="s">
        <v>1434</v>
      </c>
      <c r="M412" s="30"/>
    </row>
    <row r="413" ht="15" customHeight="1" spans="1:13" x14ac:dyDescent="0.25">
      <c r="A413">
        <v>1</v>
      </c>
      <c r="B413" t="str">
        <f>LEFT(Table_clallam_Oversight_ActiveFunds[[#This Row],[Agency]],3)</f>
        <v>303</v>
      </c>
      <c r="C413" t="s">
        <v>1435</v>
      </c>
      <c r="D413" t="s">
        <v>28</v>
      </c>
      <c r="E413" t="str">
        <f>LEFT(Table_clallam_Oversight_ActiveFunds[[#This Row],[Fund]],5)</f>
        <v>001-1</v>
      </c>
      <c r="G413">
        <f t="shared" si="17"/>
      </c>
      <c r="K413" t="str">
        <f t="shared" si="18"/>
        <v>505-6</v>
      </c>
      <c r="L413" t="s">
        <v>1436</v>
      </c>
      <c r="M413" s="30"/>
    </row>
    <row r="414" ht="15" customHeight="1" spans="1:13" x14ac:dyDescent="0.25">
      <c r="A414">
        <v>1</v>
      </c>
      <c r="B414" t="str">
        <f>LEFT(Table_clallam_Oversight_ActiveFunds[[#This Row],[Agency]],3)</f>
        <v>303</v>
      </c>
      <c r="C414" t="s">
        <v>1435</v>
      </c>
      <c r="D414" t="s">
        <v>144</v>
      </c>
      <c r="E414" t="str">
        <f>LEFT(Table_clallam_Oversight_ActiveFunds[[#This Row],[Fund]],5)</f>
        <v>001-2</v>
      </c>
      <c r="G414">
        <f t="shared" si="17"/>
      </c>
      <c r="K414" t="str">
        <f t="shared" si="18"/>
        <v>507-1</v>
      </c>
      <c r="L414" t="s">
        <v>1437</v>
      </c>
      <c r="M414" s="30"/>
    </row>
    <row r="415" ht="15" customHeight="1" spans="1:13" x14ac:dyDescent="0.25">
      <c r="A415">
        <v>1</v>
      </c>
      <c r="B415" t="str">
        <f>LEFT(Table_clallam_Oversight_ActiveFunds[[#This Row],[Agency]],3)</f>
        <v>303</v>
      </c>
      <c r="C415" t="s">
        <v>1435</v>
      </c>
      <c r="D415" t="s">
        <v>712</v>
      </c>
      <c r="E415" t="str">
        <f>LEFT(Table_clallam_Oversight_ActiveFunds[[#This Row],[Fund]],5)</f>
        <v>001-7</v>
      </c>
      <c r="G415">
        <f t="shared" si="17"/>
      </c>
      <c r="K415" t="str">
        <f t="shared" si="18"/>
        <v>511-1</v>
      </c>
      <c r="L415" t="s">
        <v>1371</v>
      </c>
      <c r="M415" s="30"/>
    </row>
    <row r="416" ht="15" customHeight="1" spans="1:13" x14ac:dyDescent="0.25">
      <c r="A416">
        <v>1</v>
      </c>
      <c r="B416" t="str">
        <f>LEFT(Table_clallam_Oversight_ActiveFunds[[#This Row],[Agency]],3)</f>
        <v>303</v>
      </c>
      <c r="C416" t="s">
        <v>1435</v>
      </c>
      <c r="D416" t="s">
        <v>764</v>
      </c>
      <c r="E416" t="str">
        <f>LEFT(Table_clallam_Oversight_ActiveFunds[[#This Row],[Fund]],5)</f>
        <v>002-1</v>
      </c>
      <c r="G416">
        <f t="shared" si="17"/>
      </c>
      <c r="K416" t="str">
        <f t="shared" si="18"/>
        <v>513-1</v>
      </c>
      <c r="L416" t="s">
        <v>1417</v>
      </c>
      <c r="M416" s="30"/>
    </row>
    <row r="417" ht="15" customHeight="1" spans="1:13" x14ac:dyDescent="0.25">
      <c r="A417">
        <v>1</v>
      </c>
      <c r="B417" t="str">
        <f>LEFT(Table_clallam_Oversight_ActiveFunds[[#This Row],[Agency]],3)</f>
        <v>303</v>
      </c>
      <c r="C417" t="s">
        <v>1435</v>
      </c>
      <c r="D417" t="s">
        <v>830</v>
      </c>
      <c r="E417" t="str">
        <f>LEFT(Table_clallam_Oversight_ActiveFunds[[#This Row],[Fund]],5)</f>
        <v>02G-1</v>
      </c>
      <c r="G417">
        <f t="shared" si="17"/>
      </c>
      <c r="K417" t="str">
        <f t="shared" si="18"/>
        <v>515-6</v>
      </c>
      <c r="L417" t="s">
        <v>1363</v>
      </c>
      <c r="M417" s="30"/>
    </row>
    <row r="418" ht="15" customHeight="1" spans="1:13" x14ac:dyDescent="0.25">
      <c r="A418">
        <v>1</v>
      </c>
      <c r="B418" t="str">
        <f>LEFT(Table_clallam_Oversight_ActiveFunds[[#This Row],[Agency]],3)</f>
        <v>303</v>
      </c>
      <c r="C418" t="s">
        <v>1435</v>
      </c>
      <c r="D418" t="s">
        <v>855</v>
      </c>
      <c r="E418" t="str">
        <f>LEFT(Table_clallam_Oversight_ActiveFunds[[#This Row],[Fund]],5)</f>
        <v>02R-1</v>
      </c>
      <c r="G418">
        <f t="shared" si="17"/>
      </c>
      <c r="K418" t="str">
        <f t="shared" si="18"/>
        <v>516-6</v>
      </c>
      <c r="L418" t="s">
        <v>1438</v>
      </c>
      <c r="M418" s="30"/>
    </row>
    <row r="419" ht="15" customHeight="1" spans="1:13" x14ac:dyDescent="0.25">
      <c r="A419">
        <v>1</v>
      </c>
      <c r="B419" t="str">
        <f>LEFT(Table_clallam_Oversight_ActiveFunds[[#This Row],[Agency]],3)</f>
        <v>303</v>
      </c>
      <c r="C419" t="s">
        <v>1435</v>
      </c>
      <c r="D419" t="s">
        <v>894</v>
      </c>
      <c r="E419" t="str">
        <f>LEFT(Table_clallam_Oversight_ActiveFunds[[#This Row],[Fund]],5)</f>
        <v>03C-1</v>
      </c>
      <c r="G419">
        <f t="shared" si="17"/>
      </c>
      <c r="K419" t="str">
        <f t="shared" si="18"/>
        <v>532-1</v>
      </c>
      <c r="L419" t="s">
        <v>1156</v>
      </c>
      <c r="M419" s="30"/>
    </row>
    <row r="420" ht="15" customHeight="1" spans="1:13" x14ac:dyDescent="0.25">
      <c r="A420">
        <v>1</v>
      </c>
      <c r="B420" t="str">
        <f>LEFT(Table_clallam_Oversight_ActiveFunds[[#This Row],[Agency]],3)</f>
        <v>303</v>
      </c>
      <c r="C420" t="s">
        <v>1435</v>
      </c>
      <c r="D420" t="s">
        <v>923</v>
      </c>
      <c r="E420" t="str">
        <f>LEFT(Table_clallam_Oversight_ActiveFunds[[#This Row],[Fund]],5)</f>
        <v>03R-1</v>
      </c>
      <c r="G420">
        <f t="shared" si="17"/>
      </c>
      <c r="K420" t="str">
        <f t="shared" si="18"/>
        <v>535-1</v>
      </c>
      <c r="L420" t="s">
        <v>1439</v>
      </c>
      <c r="M420" s="30"/>
    </row>
    <row r="421" ht="15" customHeight="1" spans="1:13" x14ac:dyDescent="0.25">
      <c r="A421">
        <v>1</v>
      </c>
      <c r="B421" t="str">
        <f>LEFT(Table_clallam_Oversight_ActiveFunds[[#This Row],[Agency]],3)</f>
        <v>303</v>
      </c>
      <c r="C421" t="s">
        <v>1435</v>
      </c>
      <c r="D421" t="s">
        <v>973</v>
      </c>
      <c r="E421" t="str">
        <f>LEFT(Table_clallam_Oversight_ActiveFunds[[#This Row],[Fund]],5)</f>
        <v>04R-2</v>
      </c>
      <c r="G421">
        <f t="shared" si="17"/>
      </c>
      <c r="K421" t="str">
        <f t="shared" si="18"/>
        <v>536-6</v>
      </c>
      <c r="L421" t="s">
        <v>1440</v>
      </c>
      <c r="M421" s="30"/>
    </row>
    <row r="422" ht="15" customHeight="1" spans="1:13" x14ac:dyDescent="0.25">
      <c r="A422">
        <v>1</v>
      </c>
      <c r="B422" t="str">
        <f>LEFT(Table_clallam_Oversight_ActiveFunds[[#This Row],[Agency]],3)</f>
        <v>303</v>
      </c>
      <c r="C422" t="s">
        <v>1435</v>
      </c>
      <c r="D422" t="s">
        <v>983</v>
      </c>
      <c r="E422" t="str">
        <f>LEFT(Table_clallam_Oversight_ActiveFunds[[#This Row],[Fund]],5)</f>
        <v>04W-1</v>
      </c>
      <c r="G422">
        <f t="shared" si="17"/>
      </c>
      <c r="K422" t="str">
        <f t="shared" si="18"/>
        <v>543-1</v>
      </c>
      <c r="L422" t="s">
        <v>848</v>
      </c>
      <c r="M422" s="30"/>
    </row>
    <row r="423" ht="15" customHeight="1" spans="1:13" x14ac:dyDescent="0.25">
      <c r="A423">
        <v>1</v>
      </c>
      <c r="B423" t="str">
        <f>LEFT(Table_clallam_Oversight_ActiveFunds[[#This Row],[Agency]],3)</f>
        <v>303</v>
      </c>
      <c r="C423" t="s">
        <v>1435</v>
      </c>
      <c r="D423" t="s">
        <v>1004</v>
      </c>
      <c r="E423" t="str">
        <f>LEFT(Table_clallam_Oversight_ActiveFunds[[#This Row],[Fund]],5)</f>
        <v>05R-1</v>
      </c>
      <c r="G423">
        <f t="shared" si="17"/>
      </c>
      <c r="K423" t="str">
        <f t="shared" si="18"/>
        <v>544-1</v>
      </c>
      <c r="L423" t="s">
        <v>1441</v>
      </c>
      <c r="M423" s="30"/>
    </row>
    <row r="424" ht="15" customHeight="1" spans="1:13" x14ac:dyDescent="0.25">
      <c r="A424">
        <v>1</v>
      </c>
      <c r="B424" t="str">
        <f>LEFT(Table_clallam_Oversight_ActiveFunds[[#This Row],[Agency]],3)</f>
        <v>303</v>
      </c>
      <c r="C424" t="s">
        <v>1435</v>
      </c>
      <c r="D424" t="s">
        <v>1125</v>
      </c>
      <c r="E424" t="str">
        <f>LEFT(Table_clallam_Oversight_ActiveFunds[[#This Row],[Fund]],5)</f>
        <v>09L-6</v>
      </c>
      <c r="G424">
        <f t="shared" si="17"/>
      </c>
      <c r="K424" t="str">
        <f t="shared" si="18"/>
        <v>545-6</v>
      </c>
      <c r="L424" t="s">
        <v>1442</v>
      </c>
      <c r="M424" s="30"/>
    </row>
    <row r="425" ht="15" customHeight="1" spans="1:13" x14ac:dyDescent="0.25">
      <c r="A425">
        <v>1</v>
      </c>
      <c r="B425" t="str">
        <f>LEFT(Table_clallam_Oversight_ActiveFunds[[#This Row],[Agency]],3)</f>
        <v>303</v>
      </c>
      <c r="C425" t="s">
        <v>1435</v>
      </c>
      <c r="D425" t="s">
        <v>1177</v>
      </c>
      <c r="E425" t="str">
        <f>LEFT(Table_clallam_Oversight_ActiveFunds[[#This Row],[Fund]],5)</f>
        <v>125-1</v>
      </c>
      <c r="G425">
        <f t="shared" si="17"/>
      </c>
      <c r="K425" t="str">
        <f t="shared" si="18"/>
        <v>546-6</v>
      </c>
      <c r="L425" t="s">
        <v>1311</v>
      </c>
      <c r="M425" s="30"/>
    </row>
    <row r="426" ht="15" customHeight="1" spans="1:13" x14ac:dyDescent="0.25">
      <c r="A426">
        <v>1</v>
      </c>
      <c r="B426" t="str">
        <f>LEFT(Table_clallam_Oversight_ActiveFunds[[#This Row],[Agency]],3)</f>
        <v>303</v>
      </c>
      <c r="C426" t="s">
        <v>1435</v>
      </c>
      <c r="D426" t="s">
        <v>372</v>
      </c>
      <c r="E426" t="str">
        <f>LEFT(Table_clallam_Oversight_ActiveFunds[[#This Row],[Fund]],5)</f>
        <v>15M-1</v>
      </c>
      <c r="G426">
        <f t="shared" si="17"/>
      </c>
      <c r="K426" t="str">
        <f t="shared" si="18"/>
        <v>547-6</v>
      </c>
      <c r="L426" t="s">
        <v>1312</v>
      </c>
      <c r="M426" s="30"/>
    </row>
    <row r="427" ht="15" customHeight="1" spans="1:13" x14ac:dyDescent="0.25">
      <c r="A427">
        <v>1</v>
      </c>
      <c r="B427" t="str">
        <f>LEFT(Table_clallam_Oversight_ActiveFunds[[#This Row],[Agency]],3)</f>
        <v>303</v>
      </c>
      <c r="C427" t="s">
        <v>1435</v>
      </c>
      <c r="D427" t="s">
        <v>1233</v>
      </c>
      <c r="E427" t="str">
        <f>LEFT(Table_clallam_Oversight_ActiveFunds[[#This Row],[Fund]],5)</f>
        <v>16G-6</v>
      </c>
      <c r="G427">
        <f t="shared" si="17"/>
      </c>
      <c r="K427" t="str">
        <f t="shared" si="18"/>
        <v>548-6</v>
      </c>
      <c r="L427" t="s">
        <v>1443</v>
      </c>
      <c r="M427" s="30"/>
    </row>
    <row r="428" ht="15" customHeight="1" spans="1:13" x14ac:dyDescent="0.25">
      <c r="A428">
        <v>1</v>
      </c>
      <c r="B428" t="str">
        <f>LEFT(Table_clallam_Oversight_ActiveFunds[[#This Row],[Agency]],3)</f>
        <v>303</v>
      </c>
      <c r="C428" t="s">
        <v>1435</v>
      </c>
      <c r="D428" t="s">
        <v>1090</v>
      </c>
      <c r="E428" t="str">
        <f>LEFT(Table_clallam_Oversight_ActiveFunds[[#This Row],[Fund]],5)</f>
        <v>19A-1</v>
      </c>
      <c r="G428">
        <f t="shared" si="17"/>
      </c>
      <c r="K428" t="str">
        <f t="shared" si="18"/>
        <v>549-2</v>
      </c>
      <c r="L428" t="s">
        <v>1036</v>
      </c>
      <c r="M428" s="30"/>
    </row>
    <row r="429" ht="15" customHeight="1" spans="1:13" x14ac:dyDescent="0.25">
      <c r="A429">
        <v>1</v>
      </c>
      <c r="B429" t="str">
        <f>LEFT(Table_clallam_Oversight_ActiveFunds[[#This Row],[Agency]],3)</f>
        <v>303</v>
      </c>
      <c r="C429" t="s">
        <v>1435</v>
      </c>
      <c r="D429" t="s">
        <v>947</v>
      </c>
      <c r="E429" t="str">
        <f>LEFT(Table_clallam_Oversight_ActiveFunds[[#This Row],[Fund]],5)</f>
        <v>202-1</v>
      </c>
      <c r="G429">
        <f t="shared" si="17"/>
      </c>
      <c r="K429" t="str">
        <f t="shared" si="18"/>
        <v>550-1</v>
      </c>
      <c r="L429" t="s">
        <v>1444</v>
      </c>
      <c r="M429" s="30"/>
    </row>
    <row r="430" ht="15" customHeight="1" spans="1:13" x14ac:dyDescent="0.25">
      <c r="A430">
        <v>1</v>
      </c>
      <c r="B430" t="str">
        <f>LEFT(Table_clallam_Oversight_ActiveFunds[[#This Row],[Agency]],3)</f>
        <v>303</v>
      </c>
      <c r="C430" t="s">
        <v>1435</v>
      </c>
      <c r="D430" t="s">
        <v>1330</v>
      </c>
      <c r="E430" t="str">
        <f>LEFT(Table_clallam_Oversight_ActiveFunds[[#This Row],[Fund]],5)</f>
        <v>214-6</v>
      </c>
      <c r="G430">
        <f t="shared" si="17"/>
      </c>
      <c r="K430" t="str">
        <f t="shared" si="18"/>
        <v>553-1</v>
      </c>
      <c r="L430" t="s">
        <v>735</v>
      </c>
      <c r="M430" s="30"/>
    </row>
    <row r="431" ht="15" customHeight="1" spans="1:13" x14ac:dyDescent="0.25">
      <c r="A431">
        <v>1</v>
      </c>
      <c r="B431" t="str">
        <f>LEFT(Table_clallam_Oversight_ActiveFunds[[#This Row],[Agency]],3)</f>
        <v>303</v>
      </c>
      <c r="C431" t="s">
        <v>1435</v>
      </c>
      <c r="D431" t="s">
        <v>1359</v>
      </c>
      <c r="E431" t="str">
        <f>LEFT(Table_clallam_Oversight_ActiveFunds[[#This Row],[Fund]],5)</f>
        <v>22U-1</v>
      </c>
      <c r="G431">
        <f t="shared" si="17"/>
      </c>
      <c r="K431" t="str">
        <f t="shared" si="18"/>
        <v>553-6</v>
      </c>
      <c r="L431" t="s">
        <v>1065</v>
      </c>
      <c r="M431" s="30"/>
    </row>
    <row r="432" ht="15" customHeight="1" spans="1:13" x14ac:dyDescent="0.25">
      <c r="A432">
        <v>1</v>
      </c>
      <c r="B432" t="str">
        <f>LEFT(Table_clallam_Oversight_ActiveFunds[[#This Row],[Agency]],3)</f>
        <v>303</v>
      </c>
      <c r="C432" t="s">
        <v>1435</v>
      </c>
      <c r="D432" t="s">
        <v>1364</v>
      </c>
      <c r="E432" t="str">
        <f>LEFT(Table_clallam_Oversight_ActiveFunds[[#This Row],[Fund]],5)</f>
        <v>235-1</v>
      </c>
      <c r="G432">
        <f t="shared" si="17"/>
      </c>
      <c r="K432" t="str">
        <f t="shared" si="18"/>
        <v>561-6</v>
      </c>
      <c r="L432" t="s">
        <v>1445</v>
      </c>
      <c r="M432" s="30"/>
    </row>
    <row r="433" ht="15" customHeight="1" spans="1:13" x14ac:dyDescent="0.25">
      <c r="A433">
        <v>1</v>
      </c>
      <c r="B433" t="str">
        <f>LEFT(Table_clallam_Oversight_ActiveFunds[[#This Row],[Agency]],3)</f>
        <v>303</v>
      </c>
      <c r="C433" t="s">
        <v>1435</v>
      </c>
      <c r="D433" t="s">
        <v>1283</v>
      </c>
      <c r="E433" t="str">
        <f>LEFT(Table_clallam_Oversight_ActiveFunds[[#This Row],[Fund]],5)</f>
        <v>23P-1</v>
      </c>
      <c r="G433">
        <f t="shared" si="17"/>
      </c>
      <c r="K433" t="str">
        <f t="shared" si="18"/>
        <v>562-1</v>
      </c>
      <c r="L433" t="s">
        <v>1430</v>
      </c>
      <c r="M433" s="30"/>
    </row>
    <row r="434" ht="15" customHeight="1" spans="1:13" x14ac:dyDescent="0.25">
      <c r="A434">
        <v>1</v>
      </c>
      <c r="B434" t="str">
        <f>LEFT(Table_clallam_Oversight_ActiveFunds[[#This Row],[Agency]],3)</f>
        <v>303</v>
      </c>
      <c r="C434" t="s">
        <v>1435</v>
      </c>
      <c r="D434" t="s">
        <v>1182</v>
      </c>
      <c r="E434" t="str">
        <f>LEFT(Table_clallam_Oversight_ActiveFunds[[#This Row],[Fund]],5)</f>
        <v>25N-1</v>
      </c>
      <c r="G434">
        <f t="shared" si="17"/>
      </c>
      <c r="K434" t="str">
        <f t="shared" si="18"/>
        <v>564-1</v>
      </c>
      <c r="L434" t="s">
        <v>1446</v>
      </c>
      <c r="M434" s="30"/>
    </row>
    <row r="435" ht="15" customHeight="1" spans="1:13" x14ac:dyDescent="0.25">
      <c r="A435">
        <v>1</v>
      </c>
      <c r="B435" t="str">
        <f>LEFT(Table_clallam_Oversight_ActiveFunds[[#This Row],[Agency]],3)</f>
        <v>303</v>
      </c>
      <c r="C435" t="s">
        <v>1435</v>
      </c>
      <c r="D435" t="s">
        <v>1153</v>
      </c>
      <c r="E435" t="str">
        <f>LEFT(Table_clallam_Oversight_ActiveFunds[[#This Row],[Fund]],5)</f>
        <v>315-1</v>
      </c>
      <c r="G435">
        <f t="shared" si="17"/>
      </c>
      <c r="K435" t="str">
        <f t="shared" si="18"/>
        <v>566-1</v>
      </c>
      <c r="L435" t="s">
        <v>1447</v>
      </c>
      <c r="M435" s="30"/>
    </row>
    <row r="436" ht="15" customHeight="1" spans="1:13" x14ac:dyDescent="0.25">
      <c r="A436">
        <v>1</v>
      </c>
      <c r="B436" t="str">
        <f>LEFT(Table_clallam_Oversight_ActiveFunds[[#This Row],[Agency]],3)</f>
        <v>303</v>
      </c>
      <c r="C436" t="s">
        <v>1435</v>
      </c>
      <c r="D436" t="s">
        <v>1415</v>
      </c>
      <c r="E436" t="str">
        <f>LEFT(Table_clallam_Oversight_ActiveFunds[[#This Row],[Fund]],5)</f>
        <v>319-7</v>
      </c>
      <c r="G436">
        <f t="shared" si="17"/>
      </c>
      <c r="K436" t="str">
        <f t="shared" si="18"/>
        <v>567-1</v>
      </c>
      <c r="L436" t="s">
        <v>1432</v>
      </c>
      <c r="M436" s="30"/>
    </row>
    <row r="437" ht="15" customHeight="1" spans="1:13" x14ac:dyDescent="0.25">
      <c r="A437">
        <v>1</v>
      </c>
      <c r="B437" t="str">
        <f>LEFT(Table_clallam_Oversight_ActiveFunds[[#This Row],[Agency]],3)</f>
        <v>303</v>
      </c>
      <c r="C437" t="s">
        <v>1435</v>
      </c>
      <c r="D437" t="s">
        <v>285</v>
      </c>
      <c r="E437" t="str">
        <f>LEFT(Table_clallam_Oversight_ActiveFunds[[#This Row],[Fund]],5)</f>
        <v>608-1</v>
      </c>
      <c r="G437">
        <f t="shared" si="17"/>
      </c>
      <c r="K437" t="str">
        <f t="shared" si="18"/>
        <v>571-1</v>
      </c>
      <c r="L437" t="s">
        <v>1448</v>
      </c>
      <c r="M437" s="30"/>
    </row>
    <row r="438" ht="15" customHeight="1" spans="1:13" x14ac:dyDescent="0.25">
      <c r="A438">
        <v>1</v>
      </c>
      <c r="B438" t="str">
        <f>LEFT(Table_clallam_Oversight_ActiveFunds[[#This Row],[Agency]],3)</f>
        <v>303</v>
      </c>
      <c r="C438" t="s">
        <v>1435</v>
      </c>
      <c r="D438" t="s">
        <v>287</v>
      </c>
      <c r="E438" t="str">
        <f>LEFT(Table_clallam_Oversight_ActiveFunds[[#This Row],[Fund]],5)</f>
        <v>609-1</v>
      </c>
      <c r="G438">
        <f t="shared" si="17"/>
      </c>
      <c r="K438" t="str">
        <f t="shared" si="18"/>
        <v>577-6</v>
      </c>
      <c r="L438" t="s">
        <v>1251</v>
      </c>
      <c r="M438" s="30"/>
    </row>
    <row r="439" ht="15" customHeight="1" spans="1:13" x14ac:dyDescent="0.25">
      <c r="A439">
        <v>1</v>
      </c>
      <c r="B439" t="str">
        <f>LEFT(Table_clallam_Oversight_ActiveFunds[[#This Row],[Agency]],3)</f>
        <v>303</v>
      </c>
      <c r="C439" t="s">
        <v>1435</v>
      </c>
      <c r="D439" t="s">
        <v>1449</v>
      </c>
      <c r="E439" t="str">
        <f>LEFT(Table_clallam_Oversight_ActiveFunds[[#This Row],[Fund]],5)</f>
        <v>704-6</v>
      </c>
      <c r="G439">
        <f t="shared" si="17"/>
      </c>
      <c r="K439" t="str">
        <f t="shared" si="18"/>
        <v>578-1</v>
      </c>
      <c r="L439" t="s">
        <v>1173</v>
      </c>
      <c r="M439" s="30"/>
    </row>
    <row r="440" ht="15" customHeight="1" spans="1:13" x14ac:dyDescent="0.25">
      <c r="A440">
        <v>1</v>
      </c>
      <c r="B440" t="str">
        <f>LEFT(Table_clallam_Oversight_ActiveFunds[[#This Row],[Agency]],3)</f>
        <v>303</v>
      </c>
      <c r="C440" t="s">
        <v>1435</v>
      </c>
      <c r="D440" t="s">
        <v>971</v>
      </c>
      <c r="E440" t="str">
        <f>LEFT(Table_clallam_Oversight_ActiveFunds[[#This Row],[Fund]],5)</f>
        <v>706-2</v>
      </c>
      <c r="G440">
        <f t="shared" si="17"/>
      </c>
      <c r="K440" t="str">
        <f t="shared" si="18"/>
        <v>595-1</v>
      </c>
      <c r="L440" t="s">
        <v>1373</v>
      </c>
      <c r="M440" s="30"/>
    </row>
    <row r="441" ht="15" customHeight="1" spans="1:13" x14ac:dyDescent="0.25">
      <c r="A441">
        <v>1</v>
      </c>
      <c r="B441" t="str">
        <f>LEFT(Table_clallam_Oversight_ActiveFunds[[#This Row],[Agency]],3)</f>
        <v>305</v>
      </c>
      <c r="C441" t="s">
        <v>1450</v>
      </c>
      <c r="D441" t="s">
        <v>28</v>
      </c>
      <c r="E441" t="str">
        <f>LEFT(Table_clallam_Oversight_ActiveFunds[[#This Row],[Fund]],5)</f>
        <v>001-1</v>
      </c>
      <c r="G441">
        <f t="shared" si="17"/>
      </c>
      <c r="K441" t="str">
        <f t="shared" si="18"/>
        <v>600-1</v>
      </c>
      <c r="L441" t="s">
        <v>776</v>
      </c>
      <c r="M441" s="30"/>
    </row>
    <row r="442" ht="15" customHeight="1" spans="1:13" x14ac:dyDescent="0.25">
      <c r="A442">
        <v>1</v>
      </c>
      <c r="B442" t="str">
        <f>LEFT(Table_clallam_Oversight_ActiveFunds[[#This Row],[Agency]],3)</f>
        <v>305</v>
      </c>
      <c r="C442" t="s">
        <v>1450</v>
      </c>
      <c r="D442" t="s">
        <v>144</v>
      </c>
      <c r="E442" t="str">
        <f>LEFT(Table_clallam_Oversight_ActiveFunds[[#This Row],[Fund]],5)</f>
        <v>001-2</v>
      </c>
      <c r="G442">
        <f t="shared" si="17"/>
      </c>
      <c r="K442" t="str">
        <f t="shared" si="18"/>
        <v>600-6</v>
      </c>
      <c r="L442" t="s">
        <v>1267</v>
      </c>
      <c r="M442" s="30"/>
    </row>
    <row r="443" ht="15" customHeight="1" spans="1:13" x14ac:dyDescent="0.25">
      <c r="A443">
        <v>1</v>
      </c>
      <c r="B443" t="str">
        <f>LEFT(Table_clallam_Oversight_ActiveFunds[[#This Row],[Agency]],3)</f>
        <v>305</v>
      </c>
      <c r="C443" t="s">
        <v>1450</v>
      </c>
      <c r="D443" t="s">
        <v>712</v>
      </c>
      <c r="E443" t="str">
        <f>LEFT(Table_clallam_Oversight_ActiveFunds[[#This Row],[Fund]],5)</f>
        <v>001-7</v>
      </c>
      <c r="G443">
        <f t="shared" si="17"/>
      </c>
      <c r="K443" t="str">
        <f t="shared" si="18"/>
        <v>608-1</v>
      </c>
      <c r="L443" t="s">
        <v>285</v>
      </c>
      <c r="M443" s="30"/>
    </row>
    <row r="444" ht="15" customHeight="1" spans="1:13" x14ac:dyDescent="0.25">
      <c r="A444">
        <v>1</v>
      </c>
      <c r="B444" t="str">
        <f>LEFT(Table_clallam_Oversight_ActiveFunds[[#This Row],[Agency]],3)</f>
        <v>305</v>
      </c>
      <c r="C444" t="s">
        <v>1450</v>
      </c>
      <c r="D444" t="s">
        <v>737</v>
      </c>
      <c r="E444" t="str">
        <f>LEFT(Table_clallam_Oversight_ActiveFunds[[#This Row],[Fund]],5)</f>
        <v>001-H</v>
      </c>
      <c r="G444">
        <f t="shared" si="17"/>
      </c>
      <c r="K444" t="str">
        <f t="shared" si="18"/>
        <v>608-2</v>
      </c>
      <c r="L444" t="s">
        <v>1398</v>
      </c>
      <c r="M444" s="30"/>
    </row>
    <row r="445" ht="15" customHeight="1" spans="1:13" x14ac:dyDescent="0.25">
      <c r="A445">
        <v>1</v>
      </c>
      <c r="B445" t="str">
        <f>LEFT(Table_clallam_Oversight_ActiveFunds[[#This Row],[Agency]],3)</f>
        <v>305</v>
      </c>
      <c r="C445" t="s">
        <v>1450</v>
      </c>
      <c r="D445" t="s">
        <v>743</v>
      </c>
      <c r="E445" t="str">
        <f>LEFT(Table_clallam_Oversight_ActiveFunds[[#This Row],[Fund]],5)</f>
        <v>001-W</v>
      </c>
      <c r="G445">
        <f t="shared" si="17"/>
      </c>
      <c r="K445" t="str">
        <f t="shared" si="18"/>
        <v>608-6</v>
      </c>
      <c r="L445" t="s">
        <v>1400</v>
      </c>
      <c r="M445" s="30"/>
    </row>
    <row r="446" ht="15" customHeight="1" spans="1:13" x14ac:dyDescent="0.25">
      <c r="A446">
        <v>1</v>
      </c>
      <c r="B446" t="str">
        <f>LEFT(Table_clallam_Oversight_ActiveFunds[[#This Row],[Agency]],3)</f>
        <v>305</v>
      </c>
      <c r="C446" t="s">
        <v>1450</v>
      </c>
      <c r="D446" t="s">
        <v>931</v>
      </c>
      <c r="E446" t="str">
        <f>LEFT(Table_clallam_Oversight_ActiveFunds[[#This Row],[Fund]],5)</f>
        <v>042-1</v>
      </c>
      <c r="G446">
        <f t="shared" si="17"/>
      </c>
      <c r="K446" t="str">
        <f t="shared" si="18"/>
        <v>609-1</v>
      </c>
      <c r="L446" t="s">
        <v>287</v>
      </c>
      <c r="M446" s="30"/>
    </row>
    <row r="447" ht="15" customHeight="1" spans="1:13" x14ac:dyDescent="0.25">
      <c r="A447">
        <v>1</v>
      </c>
      <c r="B447" t="str">
        <f>LEFT(Table_clallam_Oversight_ActiveFunds[[#This Row],[Agency]],3)</f>
        <v>305</v>
      </c>
      <c r="C447" t="s">
        <v>1450</v>
      </c>
      <c r="D447" t="s">
        <v>1106</v>
      </c>
      <c r="E447" t="str">
        <f>LEFT(Table_clallam_Oversight_ActiveFunds[[#This Row],[Fund]],5)</f>
        <v>08V-6</v>
      </c>
      <c r="G447">
        <f t="shared" si="17"/>
      </c>
      <c r="K447" t="str">
        <f t="shared" si="18"/>
        <v>609-2</v>
      </c>
      <c r="L447" t="s">
        <v>1402</v>
      </c>
      <c r="M447" s="30"/>
    </row>
    <row r="448" ht="15" customHeight="1" spans="1:13" x14ac:dyDescent="0.25">
      <c r="A448">
        <v>1</v>
      </c>
      <c r="B448" t="str">
        <f>LEFT(Table_clallam_Oversight_ActiveFunds[[#This Row],[Agency]],3)</f>
        <v>305</v>
      </c>
      <c r="C448" t="s">
        <v>1450</v>
      </c>
      <c r="D448" t="s">
        <v>1174</v>
      </c>
      <c r="E448" t="str">
        <f>LEFT(Table_clallam_Oversight_ActiveFunds[[#This Row],[Fund]],5)</f>
        <v>11V-7</v>
      </c>
      <c r="G448">
        <f t="shared" si="17"/>
      </c>
      <c r="K448" t="str">
        <f t="shared" si="18"/>
        <v>609-6</v>
      </c>
      <c r="L448" t="s">
        <v>1403</v>
      </c>
      <c r="M448" s="30"/>
    </row>
    <row r="449" ht="15" customHeight="1" spans="1:13" x14ac:dyDescent="0.25">
      <c r="A449">
        <v>1</v>
      </c>
      <c r="B449" t="str">
        <f>LEFT(Table_clallam_Oversight_ActiveFunds[[#This Row],[Agency]],3)</f>
        <v>305</v>
      </c>
      <c r="C449" t="s">
        <v>1450</v>
      </c>
      <c r="D449" t="s">
        <v>1329</v>
      </c>
      <c r="E449" t="str">
        <f>LEFT(Table_clallam_Oversight_ActiveFunds[[#This Row],[Fund]],5)</f>
        <v>213-6</v>
      </c>
      <c r="G449">
        <f t="shared" si="17"/>
      </c>
      <c r="K449" t="str">
        <f t="shared" si="18"/>
        <v>704-6</v>
      </c>
      <c r="L449" t="s">
        <v>1449</v>
      </c>
      <c r="M449" s="30"/>
    </row>
    <row r="450" ht="15" customHeight="1" spans="1:13" x14ac:dyDescent="0.25">
      <c r="A450">
        <v>1</v>
      </c>
      <c r="B450" t="str">
        <f>LEFT(Table_clallam_Oversight_ActiveFunds[[#This Row],[Agency]],3)</f>
        <v>307</v>
      </c>
      <c r="C450" t="s">
        <v>1451</v>
      </c>
      <c r="D450" t="s">
        <v>691</v>
      </c>
      <c r="E450" t="str">
        <f>LEFT(Table_clallam_Oversight_ActiveFunds[[#This Row],[Fund]],5)</f>
        <v>001-0</v>
      </c>
      <c r="G450">
        <f t="shared" si="17"/>
      </c>
      <c r="K450" t="str">
        <f t="shared" si="18"/>
        <v>706-2</v>
      </c>
      <c r="L450" t="s">
        <v>971</v>
      </c>
      <c r="M450" s="30"/>
    </row>
    <row r="451" ht="15" customHeight="1" spans="1:13" x14ac:dyDescent="0.25">
      <c r="A451">
        <v>1</v>
      </c>
      <c r="B451" t="str">
        <f>LEFT(Table_clallam_Oversight_ActiveFunds[[#This Row],[Agency]],3)</f>
        <v>307</v>
      </c>
      <c r="C451" t="s">
        <v>1451</v>
      </c>
      <c r="D451" t="s">
        <v>28</v>
      </c>
      <c r="E451" t="str">
        <f>LEFT(Table_clallam_Oversight_ActiveFunds[[#This Row],[Fund]],5)</f>
        <v>001-1</v>
      </c>
      <c r="G451">
        <f t="shared" si="17"/>
      </c>
      <c r="K451" t="str">
        <f t="shared" si="18"/>
        <v>721-6</v>
      </c>
      <c r="L451" t="s">
        <v>1241</v>
      </c>
      <c r="M451" s="30"/>
    </row>
    <row r="452" ht="15" customHeight="1" spans="1:13" x14ac:dyDescent="0.25">
      <c r="A452">
        <v>1</v>
      </c>
      <c r="B452" t="str">
        <f>LEFT(Table_clallam_Oversight_ActiveFunds[[#This Row],[Agency]],3)</f>
        <v>307</v>
      </c>
      <c r="C452" t="s">
        <v>1451</v>
      </c>
      <c r="D452" t="s">
        <v>144</v>
      </c>
      <c r="E452" t="str">
        <f>LEFT(Table_clallam_Oversight_ActiveFunds[[#This Row],[Fund]],5)</f>
        <v>001-2</v>
      </c>
      <c r="G452">
        <f t="shared" si="17"/>
      </c>
      <c r="K452" t="str">
        <f t="shared" si="18"/>
        <v>746-6</v>
      </c>
      <c r="L452" t="s">
        <v>1159</v>
      </c>
      <c r="M452" s="30"/>
    </row>
    <row r="453" ht="15" customHeight="1" spans="1:13" x14ac:dyDescent="0.25">
      <c r="A453">
        <v>1</v>
      </c>
      <c r="B453" t="str">
        <f>LEFT(Table_clallam_Oversight_ActiveFunds[[#This Row],[Agency]],3)</f>
        <v>307</v>
      </c>
      <c r="C453" t="s">
        <v>1451</v>
      </c>
      <c r="D453" t="s">
        <v>712</v>
      </c>
      <c r="E453" t="str">
        <f>LEFT(Table_clallam_Oversight_ActiveFunds[[#This Row],[Fund]],5)</f>
        <v>001-7</v>
      </c>
      <c r="G453">
        <f t="shared" ref="G453:G472" si="19">LEFT(I453,3)</f>
      </c>
      <c r="K453" t="str">
        <f t="shared" ref="K453:K472" si="20">MID(L453,1,5)</f>
        <v>747-1</v>
      </c>
      <c r="L453" t="s">
        <v>1452</v>
      </c>
      <c r="M453" s="30"/>
    </row>
    <row r="454" ht="15" customHeight="1" spans="1:13" x14ac:dyDescent="0.25">
      <c r="A454">
        <v>1</v>
      </c>
      <c r="B454" t="str">
        <f>LEFT(Table_clallam_Oversight_ActiveFunds[[#This Row],[Agency]],3)</f>
        <v>307</v>
      </c>
      <c r="C454" t="s">
        <v>1451</v>
      </c>
      <c r="D454" t="s">
        <v>719</v>
      </c>
      <c r="E454" t="str">
        <f>LEFT(Table_clallam_Oversight_ActiveFunds[[#This Row],[Fund]],5)</f>
        <v>001-A</v>
      </c>
      <c r="G454">
        <f t="shared" si="19"/>
      </c>
      <c r="K454" t="str">
        <f t="shared" si="20"/>
        <v>747-6</v>
      </c>
      <c r="L454" t="s">
        <v>1453</v>
      </c>
      <c r="M454" s="30"/>
    </row>
    <row r="455" ht="15" customHeight="1" spans="1:13" x14ac:dyDescent="0.25">
      <c r="A455">
        <v>1</v>
      </c>
      <c r="B455" t="str">
        <f>LEFT(Table_clallam_Oversight_ActiveFunds[[#This Row],[Agency]],3)</f>
        <v>307</v>
      </c>
      <c r="C455" t="s">
        <v>1451</v>
      </c>
      <c r="D455" t="s">
        <v>725</v>
      </c>
      <c r="E455" t="str">
        <f>LEFT(Table_clallam_Oversight_ActiveFunds[[#This Row],[Fund]],5)</f>
        <v>001-C</v>
      </c>
      <c r="G455">
        <f t="shared" si="19"/>
      </c>
      <c r="K455" t="str">
        <f t="shared" si="20"/>
        <v>748-6</v>
      </c>
      <c r="L455" t="s">
        <v>1454</v>
      </c>
      <c r="M455" s="30"/>
    </row>
    <row r="456" ht="15" customHeight="1" spans="1:13" x14ac:dyDescent="0.25">
      <c r="A456">
        <v>1</v>
      </c>
      <c r="B456" t="str">
        <f>LEFT(Table_clallam_Oversight_ActiveFunds[[#This Row],[Agency]],3)</f>
        <v>307</v>
      </c>
      <c r="C456" t="s">
        <v>1451</v>
      </c>
      <c r="D456" t="s">
        <v>737</v>
      </c>
      <c r="E456" t="str">
        <f>LEFT(Table_clallam_Oversight_ActiveFunds[[#This Row],[Fund]],5)</f>
        <v>001-H</v>
      </c>
      <c r="G456">
        <f t="shared" si="19"/>
      </c>
      <c r="K456" t="str">
        <f t="shared" si="20"/>
        <v>759-6</v>
      </c>
      <c r="L456" t="s">
        <v>1161</v>
      </c>
      <c r="M456" s="30"/>
    </row>
    <row r="457" ht="15" customHeight="1" spans="1:12" x14ac:dyDescent="0.25">
      <c r="A457">
        <v>1</v>
      </c>
      <c r="B457" t="str">
        <f>LEFT(Table_clallam_Oversight_ActiveFunds[[#This Row],[Agency]],3)</f>
        <v>307</v>
      </c>
      <c r="C457" t="s">
        <v>1451</v>
      </c>
      <c r="D457" t="s">
        <v>758</v>
      </c>
      <c r="E457" t="str">
        <f>LEFT(Table_clallam_Oversight_ActiveFunds[[#This Row],[Fund]],5)</f>
        <v>001-Z</v>
      </c>
      <c r="G457">
        <f t="shared" si="19"/>
      </c>
      <c r="K457" t="str">
        <f t="shared" si="20"/>
        <v>777-1</v>
      </c>
      <c r="L457" t="s">
        <v>1163</v>
      </c>
    </row>
    <row r="458" ht="15" customHeight="1" spans="1:12" x14ac:dyDescent="0.25">
      <c r="A458">
        <v>1</v>
      </c>
      <c r="B458" t="str">
        <f>LEFT(Table_clallam_Oversight_ActiveFunds[[#This Row],[Agency]],3)</f>
        <v>307</v>
      </c>
      <c r="C458" t="s">
        <v>1451</v>
      </c>
      <c r="D458" t="s">
        <v>1084</v>
      </c>
      <c r="E458" t="str">
        <f>LEFT(Table_clallam_Oversight_ActiveFunds[[#This Row],[Fund]],5)</f>
        <v>08A-1</v>
      </c>
      <c r="G458">
        <f t="shared" si="19"/>
      </c>
      <c r="K458" t="str">
        <f t="shared" si="20"/>
        <v>780-1</v>
      </c>
      <c r="L458" t="s">
        <v>1382</v>
      </c>
    </row>
    <row r="459" ht="15" customHeight="1" spans="1:12" x14ac:dyDescent="0.25">
      <c r="A459">
        <v>1</v>
      </c>
      <c r="B459" t="str">
        <f>LEFT(Table_clallam_Oversight_ActiveFunds[[#This Row],[Agency]],3)</f>
        <v>307</v>
      </c>
      <c r="C459" t="s">
        <v>1451</v>
      </c>
      <c r="D459" t="s">
        <v>1172</v>
      </c>
      <c r="E459" t="str">
        <f>LEFT(Table_clallam_Oversight_ActiveFunds[[#This Row],[Fund]],5)</f>
        <v>11K-1</v>
      </c>
      <c r="G459">
        <f t="shared" si="19"/>
      </c>
      <c r="K459" t="str">
        <f t="shared" si="20"/>
        <v>785-6</v>
      </c>
      <c r="L459" t="s">
        <v>1455</v>
      </c>
    </row>
    <row r="460" ht="15" customHeight="1" spans="1:12" x14ac:dyDescent="0.25">
      <c r="A460">
        <v>1</v>
      </c>
      <c r="B460" t="str">
        <f>LEFT(Table_clallam_Oversight_ActiveFunds[[#This Row],[Agency]],3)</f>
        <v>307</v>
      </c>
      <c r="C460" t="s">
        <v>1451</v>
      </c>
      <c r="D460" t="s">
        <v>1192</v>
      </c>
      <c r="E460" t="str">
        <f>LEFT(Table_clallam_Oversight_ActiveFunds[[#This Row],[Fund]],5)</f>
        <v>133-6</v>
      </c>
      <c r="G460">
        <f t="shared" si="19"/>
      </c>
      <c r="K460" t="str">
        <f t="shared" si="20"/>
        <v>788-6</v>
      </c>
      <c r="L460" t="s">
        <v>1456</v>
      </c>
    </row>
    <row r="461" ht="15" customHeight="1" spans="1:12" x14ac:dyDescent="0.25">
      <c r="A461">
        <v>1</v>
      </c>
      <c r="B461" t="str">
        <f>LEFT(Table_clallam_Oversight_ActiveFunds[[#This Row],[Agency]],3)</f>
        <v>307</v>
      </c>
      <c r="C461" t="s">
        <v>1451</v>
      </c>
      <c r="D461" t="s">
        <v>1252</v>
      </c>
      <c r="E461" t="str">
        <f>LEFT(Table_clallam_Oversight_ActiveFunds[[#This Row],[Fund]],5)</f>
        <v>17B-1</v>
      </c>
      <c r="G461">
        <f t="shared" si="19"/>
      </c>
      <c r="K461" t="str">
        <f t="shared" si="20"/>
        <v>818-1</v>
      </c>
      <c r="L461" t="s">
        <v>1457</v>
      </c>
    </row>
    <row r="462" ht="15" customHeight="1" spans="1:12" x14ac:dyDescent="0.25">
      <c r="A462">
        <v>1</v>
      </c>
      <c r="B462" t="str">
        <f>LEFT(Table_clallam_Oversight_ActiveFunds[[#This Row],[Agency]],3)</f>
        <v>307</v>
      </c>
      <c r="C462" t="s">
        <v>1451</v>
      </c>
      <c r="D462" t="s">
        <v>1253</v>
      </c>
      <c r="E462" t="str">
        <f>LEFT(Table_clallam_Oversight_ActiveFunds[[#This Row],[Fund]],5)</f>
        <v>17B-2</v>
      </c>
      <c r="G462">
        <f t="shared" si="19"/>
      </c>
      <c r="K462" t="str">
        <f t="shared" si="20"/>
        <v>823-6</v>
      </c>
      <c r="L462" t="s">
        <v>1458</v>
      </c>
    </row>
    <row r="463" ht="15" customHeight="1" spans="1:12" x14ac:dyDescent="0.25">
      <c r="A463">
        <v>1</v>
      </c>
      <c r="B463" t="str">
        <f>LEFT(Table_clallam_Oversight_ActiveFunds[[#This Row],[Agency]],3)</f>
        <v>307</v>
      </c>
      <c r="C463" t="s">
        <v>1451</v>
      </c>
      <c r="D463" t="s">
        <v>1255</v>
      </c>
      <c r="E463" t="str">
        <f>LEFT(Table_clallam_Oversight_ActiveFunds[[#This Row],[Fund]],5)</f>
        <v>17F-1</v>
      </c>
      <c r="G463">
        <f t="shared" si="19"/>
      </c>
      <c r="K463" t="str">
        <f t="shared" si="20"/>
        <v>828-1</v>
      </c>
      <c r="L463" t="s">
        <v>1107</v>
      </c>
    </row>
    <row r="464" ht="15" customHeight="1" spans="1:12" x14ac:dyDescent="0.25">
      <c r="A464">
        <v>1</v>
      </c>
      <c r="B464" t="str">
        <f>LEFT(Table_clallam_Oversight_ActiveFunds[[#This Row],[Agency]],3)</f>
        <v>307</v>
      </c>
      <c r="C464" t="s">
        <v>1451</v>
      </c>
      <c r="D464" t="s">
        <v>1258</v>
      </c>
      <c r="E464" t="str">
        <f>LEFT(Table_clallam_Oversight_ActiveFunds[[#This Row],[Fund]],5)</f>
        <v>17M-6</v>
      </c>
      <c r="G464">
        <f t="shared" si="19"/>
      </c>
      <c r="K464" t="str">
        <f t="shared" si="20"/>
        <v>830-1</v>
      </c>
      <c r="L464" t="s">
        <v>1459</v>
      </c>
    </row>
    <row r="465" ht="15" customHeight="1" spans="1:12" x14ac:dyDescent="0.25">
      <c r="A465">
        <v>1</v>
      </c>
      <c r="B465" t="str">
        <f>LEFT(Table_clallam_Oversight_ActiveFunds[[#This Row],[Agency]],3)</f>
        <v>307</v>
      </c>
      <c r="C465" t="s">
        <v>1451</v>
      </c>
      <c r="D465" t="s">
        <v>1325</v>
      </c>
      <c r="E465" t="str">
        <f>LEFT(Table_clallam_Oversight_ActiveFunds[[#This Row],[Fund]],5)</f>
        <v>20L-Y</v>
      </c>
      <c r="G465">
        <f t="shared" si="19"/>
      </c>
      <c r="K465" t="str">
        <f t="shared" si="20"/>
        <v>835-6</v>
      </c>
      <c r="L465" t="s">
        <v>1460</v>
      </c>
    </row>
    <row r="466" ht="15" customHeight="1" spans="1:12" x14ac:dyDescent="0.25">
      <c r="A466">
        <v>1</v>
      </c>
      <c r="B466" t="str">
        <f>LEFT(Table_clallam_Oversight_ActiveFunds[[#This Row],[Agency]],3)</f>
        <v>307</v>
      </c>
      <c r="C466" t="s">
        <v>1451</v>
      </c>
      <c r="D466" t="s">
        <v>442</v>
      </c>
      <c r="E466" t="str">
        <f>LEFT(Table_clallam_Oversight_ActiveFunds[[#This Row],[Fund]],5)</f>
        <v>24J-1</v>
      </c>
      <c r="G466">
        <f t="shared" si="19"/>
      </c>
      <c r="K466" t="str">
        <f t="shared" si="20"/>
        <v>851-1</v>
      </c>
      <c r="L466" t="s">
        <v>1433</v>
      </c>
    </row>
    <row r="467" ht="15" customHeight="1" spans="1:12" x14ac:dyDescent="0.25">
      <c r="A467">
        <v>1</v>
      </c>
      <c r="B467" t="str">
        <f>LEFT(Table_clallam_Oversight_ActiveFunds[[#This Row],[Agency]],3)</f>
        <v>307</v>
      </c>
      <c r="C467" t="s">
        <v>1451</v>
      </c>
      <c r="D467" t="s">
        <v>971</v>
      </c>
      <c r="E467" t="str">
        <f>LEFT(Table_clallam_Oversight_ActiveFunds[[#This Row],[Fund]],5)</f>
        <v>706-2</v>
      </c>
      <c r="G467">
        <f t="shared" si="19"/>
      </c>
      <c r="K467" t="str">
        <f t="shared" si="20"/>
        <v>874-6</v>
      </c>
      <c r="L467" t="s">
        <v>1269</v>
      </c>
    </row>
    <row r="468" ht="15" customHeight="1" spans="1:12" x14ac:dyDescent="0.25">
      <c r="A468">
        <v>1</v>
      </c>
      <c r="B468" t="str">
        <f>LEFT(Table_clallam_Oversight_ActiveFunds[[#This Row],[Agency]],3)</f>
        <v>310</v>
      </c>
      <c r="C468" t="s">
        <v>1461</v>
      </c>
      <c r="D468" t="s">
        <v>28</v>
      </c>
      <c r="E468" t="str">
        <f>LEFT(Table_clallam_Oversight_ActiveFunds[[#This Row],[Fund]],5)</f>
        <v>001-1</v>
      </c>
      <c r="G468">
        <f t="shared" si="19"/>
      </c>
      <c r="K468" t="str">
        <f t="shared" si="20"/>
        <v>884-6</v>
      </c>
      <c r="L468" t="s">
        <v>1257</v>
      </c>
    </row>
    <row r="469" ht="15" customHeight="1" spans="1:12" x14ac:dyDescent="0.25">
      <c r="A469">
        <v>1</v>
      </c>
      <c r="B469" t="str">
        <f>LEFT(Table_clallam_Oversight_ActiveFunds[[#This Row],[Agency]],3)</f>
        <v>310</v>
      </c>
      <c r="C469" t="s">
        <v>1461</v>
      </c>
      <c r="D469" t="s">
        <v>144</v>
      </c>
      <c r="E469" t="str">
        <f>LEFT(Table_clallam_Oversight_ActiveFunds[[#This Row],[Fund]],5)</f>
        <v>001-2</v>
      </c>
      <c r="G469">
        <f t="shared" si="19"/>
      </c>
      <c r="K469" t="str">
        <f t="shared" si="20"/>
        <v>885-1</v>
      </c>
      <c r="L469" t="s">
        <v>1404</v>
      </c>
    </row>
    <row r="470" ht="15" customHeight="1" spans="1:12" x14ac:dyDescent="0.25">
      <c r="A470">
        <v>1</v>
      </c>
      <c r="B470" t="str">
        <f>LEFT(Table_clallam_Oversight_ActiveFunds[[#This Row],[Agency]],3)</f>
        <v>310</v>
      </c>
      <c r="C470" t="s">
        <v>1461</v>
      </c>
      <c r="D470" t="s">
        <v>712</v>
      </c>
      <c r="E470" t="str">
        <f>LEFT(Table_clallam_Oversight_ActiveFunds[[#This Row],[Fund]],5)</f>
        <v>001-7</v>
      </c>
      <c r="G470">
        <f t="shared" si="19"/>
      </c>
      <c r="K470" t="str">
        <f t="shared" si="20"/>
        <v>887-1</v>
      </c>
      <c r="L470" t="s">
        <v>1165</v>
      </c>
    </row>
    <row r="471" ht="15" customHeight="1" spans="1:12" x14ac:dyDescent="0.25">
      <c r="A471">
        <v>1</v>
      </c>
      <c r="B471" t="str">
        <f>LEFT(Table_clallam_Oversight_ActiveFunds[[#This Row],[Agency]],3)</f>
        <v>310</v>
      </c>
      <c r="C471" t="s">
        <v>1461</v>
      </c>
      <c r="D471" t="s">
        <v>748</v>
      </c>
      <c r="E471" t="str">
        <f>LEFT(Table_clallam_Oversight_ActiveFunds[[#This Row],[Fund]],5)</f>
        <v>001-X</v>
      </c>
      <c r="G471">
        <f t="shared" si="19"/>
      </c>
      <c r="K471" t="str">
        <f t="shared" si="20"/>
        <v>888-6</v>
      </c>
      <c r="L471" t="s">
        <v>1271</v>
      </c>
    </row>
    <row r="472" ht="15" customHeight="1" spans="1:12" x14ac:dyDescent="0.25">
      <c r="A472">
        <v>1</v>
      </c>
      <c r="B472" t="str">
        <f>LEFT(Table_clallam_Oversight_ActiveFunds[[#This Row],[Agency]],3)</f>
        <v>310</v>
      </c>
      <c r="C472" t="s">
        <v>1461</v>
      </c>
      <c r="D472" t="s">
        <v>1172</v>
      </c>
      <c r="E472" t="str">
        <f>LEFT(Table_clallam_Oversight_ActiveFunds[[#This Row],[Fund]],5)</f>
        <v>11K-1</v>
      </c>
      <c r="G472">
        <f t="shared" si="19"/>
      </c>
      <c r="K472" t="str">
        <f t="shared" si="20"/>
        <v>892-1</v>
      </c>
      <c r="L472" t="s">
        <v>1406</v>
      </c>
    </row>
    <row r="473" ht="15" customHeight="1" spans="1:5" x14ac:dyDescent="0.25">
      <c r="A473">
        <v>1</v>
      </c>
      <c r="B473" t="str">
        <f>LEFT(Table_clallam_Oversight_ActiveFunds[[#This Row],[Agency]],3)</f>
        <v>310</v>
      </c>
      <c r="C473" t="s">
        <v>1461</v>
      </c>
      <c r="D473" t="s">
        <v>1082</v>
      </c>
      <c r="E473" t="str">
        <f>LEFT(Table_clallam_Oversight_ActiveFunds[[#This Row],[Fund]],5)</f>
        <v>141-6</v>
      </c>
    </row>
    <row r="474" ht="15" customHeight="1" spans="1:5" x14ac:dyDescent="0.25">
      <c r="A474">
        <v>1</v>
      </c>
      <c r="B474" t="str">
        <f>LEFT(Table_clallam_Oversight_ActiveFunds[[#This Row],[Agency]],3)</f>
        <v>310</v>
      </c>
      <c r="C474" t="s">
        <v>1461</v>
      </c>
      <c r="D474" t="s">
        <v>1313</v>
      </c>
      <c r="E474" t="str">
        <f>LEFT(Table_clallam_Oversight_ActiveFunds[[#This Row],[Fund]],5)</f>
        <v>206-6</v>
      </c>
    </row>
    <row r="475" ht="15" customHeight="1" spans="1:5" x14ac:dyDescent="0.25">
      <c r="A475">
        <v>1</v>
      </c>
      <c r="B475" t="str">
        <f>LEFT(Table_clallam_Oversight_ActiveFunds[[#This Row],[Agency]],3)</f>
        <v>310</v>
      </c>
      <c r="C475" t="s">
        <v>1461</v>
      </c>
      <c r="D475" t="s">
        <v>1256</v>
      </c>
      <c r="E475" t="str">
        <f>LEFT(Table_clallam_Oversight_ActiveFunds[[#This Row],[Fund]],5)</f>
        <v>226-6</v>
      </c>
    </row>
    <row r="476" ht="15" customHeight="1" spans="1:5" x14ac:dyDescent="0.25">
      <c r="A476">
        <v>1</v>
      </c>
      <c r="B476" t="str">
        <f>LEFT(Table_clallam_Oversight_ActiveFunds[[#This Row],[Agency]],3)</f>
        <v>310</v>
      </c>
      <c r="C476" t="s">
        <v>1461</v>
      </c>
      <c r="D476" t="s">
        <v>1418</v>
      </c>
      <c r="E476" t="str">
        <f>LEFT(Table_clallam_Oversight_ActiveFunds[[#This Row],[Fund]],5)</f>
        <v>401-6</v>
      </c>
    </row>
    <row r="477" ht="15" customHeight="1" spans="1:5" x14ac:dyDescent="0.25">
      <c r="A477">
        <v>1</v>
      </c>
      <c r="B477" t="str">
        <f>LEFT(Table_clallam_Oversight_ActiveFunds[[#This Row],[Agency]],3)</f>
        <v>310</v>
      </c>
      <c r="C477" t="s">
        <v>1461</v>
      </c>
      <c r="D477" t="s">
        <v>971</v>
      </c>
      <c r="E477" t="str">
        <f>LEFT(Table_clallam_Oversight_ActiveFunds[[#This Row],[Fund]],5)</f>
        <v>706-2</v>
      </c>
    </row>
    <row r="478" ht="15" customHeight="1" spans="1:5" x14ac:dyDescent="0.25">
      <c r="A478">
        <v>1</v>
      </c>
      <c r="B478" t="str">
        <f>LEFT(Table_clallam_Oversight_ActiveFunds[[#This Row],[Agency]],3)</f>
        <v>315</v>
      </c>
      <c r="C478" t="s">
        <v>1462</v>
      </c>
      <c r="D478" t="s">
        <v>28</v>
      </c>
      <c r="E478" t="str">
        <f>LEFT(Table_clallam_Oversight_ActiveFunds[[#This Row],[Fund]],5)</f>
        <v>001-1</v>
      </c>
    </row>
    <row r="479" ht="15" customHeight="1" spans="1:5" x14ac:dyDescent="0.25">
      <c r="A479">
        <v>1</v>
      </c>
      <c r="B479" t="str">
        <f>LEFT(Table_clallam_Oversight_ActiveFunds[[#This Row],[Agency]],3)</f>
        <v>315</v>
      </c>
      <c r="C479" t="s">
        <v>1462</v>
      </c>
      <c r="D479" t="s">
        <v>144</v>
      </c>
      <c r="E479" t="str">
        <f>LEFT(Table_clallam_Oversight_ActiveFunds[[#This Row],[Fund]],5)</f>
        <v>001-2</v>
      </c>
    </row>
    <row r="480" ht="15" customHeight="1" spans="1:5" x14ac:dyDescent="0.25">
      <c r="A480">
        <v>1</v>
      </c>
      <c r="B480" t="str">
        <f>LEFT(Table_clallam_Oversight_ActiveFunds[[#This Row],[Agency]],3)</f>
        <v>315</v>
      </c>
      <c r="C480" t="s">
        <v>1462</v>
      </c>
      <c r="D480" t="s">
        <v>712</v>
      </c>
      <c r="E480" t="str">
        <f>LEFT(Table_clallam_Oversight_ActiveFunds[[#This Row],[Fund]],5)</f>
        <v>001-7</v>
      </c>
    </row>
    <row r="481" ht="15" customHeight="1" spans="1:5" x14ac:dyDescent="0.25">
      <c r="A481">
        <v>1</v>
      </c>
      <c r="B481" t="str">
        <f>LEFT(Table_clallam_Oversight_ActiveFunds[[#This Row],[Agency]],3)</f>
        <v>315</v>
      </c>
      <c r="C481" t="s">
        <v>1462</v>
      </c>
      <c r="D481" t="s">
        <v>834</v>
      </c>
      <c r="E481" t="str">
        <f>LEFT(Table_clallam_Oversight_ActiveFunds[[#This Row],[Fund]],5)</f>
        <v>02H-6</v>
      </c>
    </row>
    <row r="482" ht="15" customHeight="1" spans="1:5" x14ac:dyDescent="0.25">
      <c r="A482">
        <v>1</v>
      </c>
      <c r="B482" t="str">
        <f>LEFT(Table_clallam_Oversight_ActiveFunds[[#This Row],[Agency]],3)</f>
        <v>340</v>
      </c>
      <c r="C482" t="s">
        <v>1463</v>
      </c>
      <c r="D482" t="s">
        <v>28</v>
      </c>
      <c r="E482" t="str">
        <f>LEFT(Table_clallam_Oversight_ActiveFunds[[#This Row],[Fund]],5)</f>
        <v>001-1</v>
      </c>
    </row>
    <row r="483" ht="15" customHeight="1" spans="1:5" x14ac:dyDescent="0.25">
      <c r="A483">
        <v>1</v>
      </c>
      <c r="B483" t="str">
        <f>LEFT(Table_clallam_Oversight_ActiveFunds[[#This Row],[Agency]],3)</f>
        <v>340</v>
      </c>
      <c r="C483" t="s">
        <v>1463</v>
      </c>
      <c r="D483" t="s">
        <v>144</v>
      </c>
      <c r="E483" t="str">
        <f>LEFT(Table_clallam_Oversight_ActiveFunds[[#This Row],[Fund]],5)</f>
        <v>001-2</v>
      </c>
    </row>
    <row r="484" ht="15" customHeight="1" spans="1:5" x14ac:dyDescent="0.25">
      <c r="A484">
        <v>1</v>
      </c>
      <c r="B484" t="str">
        <f>LEFT(Table_clallam_Oversight_ActiveFunds[[#This Row],[Agency]],3)</f>
        <v>340</v>
      </c>
      <c r="C484" t="s">
        <v>1463</v>
      </c>
      <c r="D484" t="s">
        <v>712</v>
      </c>
      <c r="E484" t="str">
        <f>LEFT(Table_clallam_Oversight_ActiveFunds[[#This Row],[Fund]],5)</f>
        <v>001-7</v>
      </c>
    </row>
    <row r="485" ht="15" customHeight="1" spans="1:5" x14ac:dyDescent="0.25">
      <c r="A485">
        <v>1</v>
      </c>
      <c r="B485" t="str">
        <f>LEFT(Table_clallam_Oversight_ActiveFunds[[#This Row],[Agency]],3)</f>
        <v>340</v>
      </c>
      <c r="C485" t="s">
        <v>1463</v>
      </c>
      <c r="D485" t="s">
        <v>737</v>
      </c>
      <c r="E485" t="str">
        <f>LEFT(Table_clallam_Oversight_ActiveFunds[[#This Row],[Fund]],5)</f>
        <v>001-H</v>
      </c>
    </row>
    <row r="486" ht="15" customHeight="1" spans="1:5" x14ac:dyDescent="0.25">
      <c r="A486">
        <v>1</v>
      </c>
      <c r="B486" t="str">
        <f>LEFT(Table_clallam_Oversight_ActiveFunds[[#This Row],[Agency]],3)</f>
        <v>340</v>
      </c>
      <c r="C486" t="s">
        <v>1463</v>
      </c>
      <c r="D486" t="s">
        <v>1084</v>
      </c>
      <c r="E486" t="str">
        <f>LEFT(Table_clallam_Oversight_ActiveFunds[[#This Row],[Fund]],5)</f>
        <v>08A-1</v>
      </c>
    </row>
    <row r="487" ht="15" customHeight="1" spans="1:5" x14ac:dyDescent="0.25">
      <c r="A487">
        <v>1</v>
      </c>
      <c r="B487" t="str">
        <f>LEFT(Table_clallam_Oversight_ActiveFunds[[#This Row],[Agency]],3)</f>
        <v>340</v>
      </c>
      <c r="C487" t="s">
        <v>1463</v>
      </c>
      <c r="D487" t="s">
        <v>1255</v>
      </c>
      <c r="E487" t="str">
        <f>LEFT(Table_clallam_Oversight_ActiveFunds[[#This Row],[Fund]],5)</f>
        <v>17F-1</v>
      </c>
    </row>
    <row r="488" ht="15" customHeight="1" spans="1:5" x14ac:dyDescent="0.25">
      <c r="A488">
        <v>1</v>
      </c>
      <c r="B488" t="str">
        <f>LEFT(Table_clallam_Oversight_ActiveFunds[[#This Row],[Agency]],3)</f>
        <v>340</v>
      </c>
      <c r="C488" t="s">
        <v>1463</v>
      </c>
      <c r="D488" t="s">
        <v>1264</v>
      </c>
      <c r="E488" t="str">
        <f>LEFT(Table_clallam_Oversight_ActiveFunds[[#This Row],[Fund]],5)</f>
        <v>17R-1</v>
      </c>
    </row>
    <row r="489" ht="15" customHeight="1" spans="1:5" x14ac:dyDescent="0.25">
      <c r="A489">
        <v>1</v>
      </c>
      <c r="B489" t="str">
        <f>LEFT(Table_clallam_Oversight_ActiveFunds[[#This Row],[Agency]],3)</f>
        <v>340</v>
      </c>
      <c r="C489" t="s">
        <v>1463</v>
      </c>
      <c r="D489" t="s">
        <v>1360</v>
      </c>
      <c r="E489" t="str">
        <f>LEFT(Table_clallam_Oversight_ActiveFunds[[#This Row],[Fund]],5)</f>
        <v>22V-6</v>
      </c>
    </row>
    <row r="490" ht="15" customHeight="1" spans="1:5" x14ac:dyDescent="0.25">
      <c r="A490">
        <v>1</v>
      </c>
      <c r="B490" t="str">
        <f>LEFT(Table_clallam_Oversight_ActiveFunds[[#This Row],[Agency]],3)</f>
        <v>340</v>
      </c>
      <c r="C490" t="s">
        <v>1463</v>
      </c>
      <c r="D490" t="s">
        <v>1365</v>
      </c>
      <c r="E490" t="str">
        <f>LEFT(Table_clallam_Oversight_ActiveFunds[[#This Row],[Fund]],5)</f>
        <v>23A-6</v>
      </c>
    </row>
    <row r="491" ht="15" customHeight="1" spans="1:5" x14ac:dyDescent="0.25">
      <c r="A491">
        <v>1</v>
      </c>
      <c r="B491" t="str">
        <f>LEFT(Table_clallam_Oversight_ActiveFunds[[#This Row],[Agency]],3)</f>
        <v>340</v>
      </c>
      <c r="C491" t="s">
        <v>1463</v>
      </c>
      <c r="D491" t="s">
        <v>1374</v>
      </c>
      <c r="E491" t="str">
        <f>LEFT(Table_clallam_Oversight_ActiveFunds[[#This Row],[Fund]],5)</f>
        <v>24A-6</v>
      </c>
    </row>
    <row r="492" ht="15" customHeight="1" spans="1:5" x14ac:dyDescent="0.25">
      <c r="A492">
        <v>1</v>
      </c>
      <c r="B492" t="str">
        <f>LEFT(Table_clallam_Oversight_ActiveFunds[[#This Row],[Agency]],3)</f>
        <v>340</v>
      </c>
      <c r="C492" t="s">
        <v>1463</v>
      </c>
      <c r="D492" t="s">
        <v>442</v>
      </c>
      <c r="E492" t="str">
        <f>LEFT(Table_clallam_Oversight_ActiveFunds[[#This Row],[Fund]],5)</f>
        <v>24J-1</v>
      </c>
    </row>
    <row r="493" ht="15" customHeight="1" spans="1:5" x14ac:dyDescent="0.25">
      <c r="A493">
        <v>1</v>
      </c>
      <c r="B493" t="str">
        <f>LEFT(Table_clallam_Oversight_ActiveFunds[[#This Row],[Agency]],3)</f>
        <v>340</v>
      </c>
      <c r="C493" t="s">
        <v>1463</v>
      </c>
      <c r="D493" t="s">
        <v>1412</v>
      </c>
      <c r="E493" t="str">
        <f>LEFT(Table_clallam_Oversight_ActiveFunds[[#This Row],[Fund]],5)</f>
        <v>26T-6</v>
      </c>
    </row>
    <row r="494" ht="15" customHeight="1" spans="1:5" x14ac:dyDescent="0.25">
      <c r="A494">
        <v>1</v>
      </c>
      <c r="B494" t="str">
        <f>LEFT(Table_clallam_Oversight_ActiveFunds[[#This Row],[Agency]],3)</f>
        <v>340</v>
      </c>
      <c r="C494" t="s">
        <v>1463</v>
      </c>
      <c r="D494" t="s">
        <v>1425</v>
      </c>
      <c r="E494" t="str">
        <f>LEFT(Table_clallam_Oversight_ActiveFunds[[#This Row],[Fund]],5)</f>
        <v>463-6</v>
      </c>
    </row>
    <row r="495" ht="15" customHeight="1" spans="1:5" x14ac:dyDescent="0.25">
      <c r="A495">
        <v>1</v>
      </c>
      <c r="B495" t="str">
        <f>LEFT(Table_clallam_Oversight_ActiveFunds[[#This Row],[Agency]],3)</f>
        <v>340</v>
      </c>
      <c r="C495" t="s">
        <v>1463</v>
      </c>
      <c r="D495" t="s">
        <v>1431</v>
      </c>
      <c r="E495" t="str">
        <f>LEFT(Table_clallam_Oversight_ActiveFunds[[#This Row],[Fund]],5)</f>
        <v>496-6</v>
      </c>
    </row>
    <row r="496" ht="15" customHeight="1" spans="1:5" x14ac:dyDescent="0.25">
      <c r="A496">
        <v>1</v>
      </c>
      <c r="B496" t="str">
        <f>LEFT(Table_clallam_Oversight_ActiveFunds[[#This Row],[Agency]],3)</f>
        <v>340</v>
      </c>
      <c r="C496" t="s">
        <v>1463</v>
      </c>
      <c r="D496" t="s">
        <v>1452</v>
      </c>
      <c r="E496" t="str">
        <f>LEFT(Table_clallam_Oversight_ActiveFunds[[#This Row],[Fund]],5)</f>
        <v>747-1</v>
      </c>
    </row>
    <row r="497" ht="15" customHeight="1" spans="1:5" x14ac:dyDescent="0.25">
      <c r="A497">
        <v>1</v>
      </c>
      <c r="B497" t="str">
        <f>LEFT(Table_clallam_Oversight_ActiveFunds[[#This Row],[Agency]],3)</f>
        <v>340</v>
      </c>
      <c r="C497" t="s">
        <v>1463</v>
      </c>
      <c r="D497" t="s">
        <v>1453</v>
      </c>
      <c r="E497" t="str">
        <f>LEFT(Table_clallam_Oversight_ActiveFunds[[#This Row],[Fund]],5)</f>
        <v>747-6</v>
      </c>
    </row>
    <row r="498" ht="15" customHeight="1" spans="1:5" x14ac:dyDescent="0.25">
      <c r="A498">
        <v>1</v>
      </c>
      <c r="B498" t="str">
        <f>LEFT(Table_clallam_Oversight_ActiveFunds[[#This Row],[Agency]],3)</f>
        <v>340</v>
      </c>
      <c r="C498" t="s">
        <v>1463</v>
      </c>
      <c r="D498" t="s">
        <v>1454</v>
      </c>
      <c r="E498" t="str">
        <f>LEFT(Table_clallam_Oversight_ActiveFunds[[#This Row],[Fund]],5)</f>
        <v>748-6</v>
      </c>
    </row>
    <row r="499" ht="15" customHeight="1" spans="1:5" x14ac:dyDescent="0.25">
      <c r="A499">
        <v>1</v>
      </c>
      <c r="B499" t="str">
        <f>LEFT(Table_clallam_Oversight_ActiveFunds[[#This Row],[Agency]],3)</f>
        <v>340</v>
      </c>
      <c r="C499" t="s">
        <v>1463</v>
      </c>
      <c r="D499" t="s">
        <v>1455</v>
      </c>
      <c r="E499" t="str">
        <f>LEFT(Table_clallam_Oversight_ActiveFunds[[#This Row],[Fund]],5)</f>
        <v>785-6</v>
      </c>
    </row>
    <row r="500" ht="15" customHeight="1" spans="1:5" x14ac:dyDescent="0.25">
      <c r="A500">
        <v>1</v>
      </c>
      <c r="B500" t="str">
        <f>LEFT(Table_clallam_Oversight_ActiveFunds[[#This Row],[Agency]],3)</f>
        <v>340</v>
      </c>
      <c r="C500" t="s">
        <v>1463</v>
      </c>
      <c r="D500" t="s">
        <v>1456</v>
      </c>
      <c r="E500" t="str">
        <f>LEFT(Table_clallam_Oversight_ActiveFunds[[#This Row],[Fund]],5)</f>
        <v>788-6</v>
      </c>
    </row>
    <row r="501" ht="15" customHeight="1" spans="1:5" x14ac:dyDescent="0.25">
      <c r="A501">
        <v>1</v>
      </c>
      <c r="B501" t="str">
        <f>LEFT(Table_clallam_Oversight_ActiveFunds[[#This Row],[Agency]],3)</f>
        <v>340</v>
      </c>
      <c r="C501" t="s">
        <v>1463</v>
      </c>
      <c r="D501" t="s">
        <v>1460</v>
      </c>
      <c r="E501" t="str">
        <f>LEFT(Table_clallam_Oversight_ActiveFunds[[#This Row],[Fund]],5)</f>
        <v>835-6</v>
      </c>
    </row>
    <row r="502" ht="15" customHeight="1" spans="1:5" x14ac:dyDescent="0.25">
      <c r="A502">
        <v>1</v>
      </c>
      <c r="B502" t="str">
        <f>LEFT(Table_clallam_Oversight_ActiveFunds[[#This Row],[Agency]],3)</f>
        <v>341</v>
      </c>
      <c r="C502" t="s">
        <v>1464</v>
      </c>
      <c r="D502" t="s">
        <v>1443</v>
      </c>
      <c r="E502" t="str">
        <f>LEFT(Table_clallam_Oversight_ActiveFunds[[#This Row],[Fund]],5)</f>
        <v>548-6</v>
      </c>
    </row>
    <row r="503" ht="15" customHeight="1" spans="1:5" x14ac:dyDescent="0.25">
      <c r="A503">
        <v>1</v>
      </c>
      <c r="B503" t="str">
        <f>LEFT(Table_clallam_Oversight_ActiveFunds[[#This Row],[Agency]],3)</f>
        <v>350</v>
      </c>
      <c r="C503" t="s">
        <v>433</v>
      </c>
      <c r="D503" t="s">
        <v>28</v>
      </c>
      <c r="E503" t="str">
        <f>LEFT(Table_clallam_Oversight_ActiveFunds[[#This Row],[Fund]],5)</f>
        <v>001-1</v>
      </c>
    </row>
    <row r="504" ht="15" customHeight="1" spans="1:5" x14ac:dyDescent="0.25">
      <c r="A504">
        <v>1</v>
      </c>
      <c r="B504" t="str">
        <f>LEFT(Table_clallam_Oversight_ActiveFunds[[#This Row],[Agency]],3)</f>
        <v>350</v>
      </c>
      <c r="C504" t="s">
        <v>433</v>
      </c>
      <c r="D504" t="s">
        <v>144</v>
      </c>
      <c r="E504" t="str">
        <f>LEFT(Table_clallam_Oversight_ActiveFunds[[#This Row],[Fund]],5)</f>
        <v>001-2</v>
      </c>
    </row>
    <row r="505" ht="15" customHeight="1" spans="1:5" x14ac:dyDescent="0.25">
      <c r="A505">
        <v>1</v>
      </c>
      <c r="B505" t="str">
        <f>LEFT(Table_clallam_Oversight_ActiveFunds[[#This Row],[Agency]],3)</f>
        <v>350</v>
      </c>
      <c r="C505" t="s">
        <v>433</v>
      </c>
      <c r="D505" t="s">
        <v>712</v>
      </c>
      <c r="E505" t="str">
        <f>LEFT(Table_clallam_Oversight_ActiveFunds[[#This Row],[Fund]],5)</f>
        <v>001-7</v>
      </c>
    </row>
    <row r="506" ht="15" customHeight="1" spans="1:5" x14ac:dyDescent="0.25">
      <c r="A506">
        <v>1</v>
      </c>
      <c r="B506" t="str">
        <f>LEFT(Table_clallam_Oversight_ActiveFunds[[#This Row],[Agency]],3)</f>
        <v>350</v>
      </c>
      <c r="C506" t="s">
        <v>433</v>
      </c>
      <c r="D506" t="s">
        <v>725</v>
      </c>
      <c r="E506" t="str">
        <f>LEFT(Table_clallam_Oversight_ActiveFunds[[#This Row],[Fund]],5)</f>
        <v>001-C</v>
      </c>
    </row>
    <row r="507" ht="15" customHeight="1" spans="1:5" x14ac:dyDescent="0.25">
      <c r="A507">
        <v>1</v>
      </c>
      <c r="B507" t="str">
        <f>LEFT(Table_clallam_Oversight_ActiveFunds[[#This Row],[Agency]],3)</f>
        <v>350</v>
      </c>
      <c r="C507" t="s">
        <v>433</v>
      </c>
      <c r="D507" t="s">
        <v>737</v>
      </c>
      <c r="E507" t="str">
        <f>LEFT(Table_clallam_Oversight_ActiveFunds[[#This Row],[Fund]],5)</f>
        <v>001-H</v>
      </c>
    </row>
    <row r="508" ht="15" customHeight="1" spans="1:5" x14ac:dyDescent="0.25">
      <c r="A508">
        <v>1</v>
      </c>
      <c r="B508" t="str">
        <f>LEFT(Table_clallam_Oversight_ActiveFunds[[#This Row],[Agency]],3)</f>
        <v>350</v>
      </c>
      <c r="C508" t="s">
        <v>433</v>
      </c>
      <c r="D508" t="s">
        <v>758</v>
      </c>
      <c r="E508" t="str">
        <f>LEFT(Table_clallam_Oversight_ActiveFunds[[#This Row],[Fund]],5)</f>
        <v>001-Z</v>
      </c>
    </row>
    <row r="509" ht="15" customHeight="1" spans="1:5" x14ac:dyDescent="0.25">
      <c r="A509">
        <v>1</v>
      </c>
      <c r="B509" t="str">
        <f>LEFT(Table_clallam_Oversight_ActiveFunds[[#This Row],[Agency]],3)</f>
        <v>350</v>
      </c>
      <c r="C509" t="s">
        <v>433</v>
      </c>
      <c r="D509" t="s">
        <v>1084</v>
      </c>
      <c r="E509" t="str">
        <f>LEFT(Table_clallam_Oversight_ActiveFunds[[#This Row],[Fund]],5)</f>
        <v>08A-1</v>
      </c>
    </row>
    <row r="510" ht="15" customHeight="1" spans="1:5" x14ac:dyDescent="0.25">
      <c r="A510">
        <v>1</v>
      </c>
      <c r="B510" t="str">
        <f>LEFT(Table_clallam_Oversight_ActiveFunds[[#This Row],[Agency]],3)</f>
        <v>350</v>
      </c>
      <c r="C510" t="s">
        <v>433</v>
      </c>
      <c r="D510" t="s">
        <v>1255</v>
      </c>
      <c r="E510" t="str">
        <f>LEFT(Table_clallam_Oversight_ActiveFunds[[#This Row],[Fund]],5)</f>
        <v>17F-1</v>
      </c>
    </row>
    <row r="511" ht="15" customHeight="1" spans="1:5" x14ac:dyDescent="0.25">
      <c r="A511">
        <v>1</v>
      </c>
      <c r="B511" t="str">
        <f>LEFT(Table_clallam_Oversight_ActiveFunds[[#This Row],[Agency]],3)</f>
        <v>350</v>
      </c>
      <c r="C511" t="s">
        <v>433</v>
      </c>
      <c r="D511" t="s">
        <v>1275</v>
      </c>
      <c r="E511" t="str">
        <f>LEFT(Table_clallam_Oversight_ActiveFunds[[#This Row],[Fund]],5)</f>
        <v>18E-6</v>
      </c>
    </row>
    <row r="512" ht="15" customHeight="1" spans="1:5" x14ac:dyDescent="0.25">
      <c r="A512">
        <v>1</v>
      </c>
      <c r="B512" t="str">
        <f>LEFT(Table_clallam_Oversight_ActiveFunds[[#This Row],[Agency]],3)</f>
        <v>350</v>
      </c>
      <c r="C512" t="s">
        <v>433</v>
      </c>
      <c r="D512" t="s">
        <v>1301</v>
      </c>
      <c r="E512" t="str">
        <f>LEFT(Table_clallam_Oversight_ActiveFunds[[#This Row],[Fund]],5)</f>
        <v>19L-1</v>
      </c>
    </row>
    <row r="513" ht="15" customHeight="1" spans="1:5" x14ac:dyDescent="0.25">
      <c r="A513">
        <v>1</v>
      </c>
      <c r="B513" t="str">
        <f>LEFT(Table_clallam_Oversight_ActiveFunds[[#This Row],[Agency]],3)</f>
        <v>350</v>
      </c>
      <c r="C513" t="s">
        <v>433</v>
      </c>
      <c r="D513" t="s">
        <v>442</v>
      </c>
      <c r="E513" t="str">
        <f>LEFT(Table_clallam_Oversight_ActiveFunds[[#This Row],[Fund]],5)</f>
        <v>24J-1</v>
      </c>
    </row>
    <row r="514" ht="15" customHeight="1" spans="1:5" x14ac:dyDescent="0.25">
      <c r="A514">
        <v>1</v>
      </c>
      <c r="B514" t="str">
        <f>LEFT(Table_clallam_Oversight_ActiveFunds[[#This Row],[Agency]],3)</f>
        <v>350</v>
      </c>
      <c r="C514" t="s">
        <v>433</v>
      </c>
      <c r="D514" t="s">
        <v>1385</v>
      </c>
      <c r="E514" t="str">
        <f>LEFT(Table_clallam_Oversight_ActiveFunds[[#This Row],[Fund]],5)</f>
        <v>25C-2</v>
      </c>
    </row>
    <row r="515" ht="15" customHeight="1" spans="1:5" x14ac:dyDescent="0.25">
      <c r="A515">
        <v>1</v>
      </c>
      <c r="B515" t="str">
        <f>LEFT(Table_clallam_Oversight_ActiveFunds[[#This Row],[Agency]],3)</f>
        <v>350</v>
      </c>
      <c r="C515" t="s">
        <v>433</v>
      </c>
      <c r="D515" t="s">
        <v>1153</v>
      </c>
      <c r="E515" t="str">
        <f>LEFT(Table_clallam_Oversight_ActiveFunds[[#This Row],[Fund]],5)</f>
        <v>315-1</v>
      </c>
    </row>
    <row r="516" ht="15" customHeight="1" spans="1:5" x14ac:dyDescent="0.25">
      <c r="A516">
        <v>1</v>
      </c>
      <c r="B516" t="str">
        <f>LEFT(Table_clallam_Oversight_ActiveFunds[[#This Row],[Agency]],3)</f>
        <v>350</v>
      </c>
      <c r="C516" t="s">
        <v>433</v>
      </c>
      <c r="D516" t="s">
        <v>1428</v>
      </c>
      <c r="E516" t="str">
        <f>LEFT(Table_clallam_Oversight_ActiveFunds[[#This Row],[Fund]],5)</f>
        <v>480-6</v>
      </c>
    </row>
    <row r="517" ht="15" customHeight="1" spans="1:5" x14ac:dyDescent="0.25">
      <c r="A517">
        <v>1</v>
      </c>
      <c r="B517" t="str">
        <f>LEFT(Table_clallam_Oversight_ActiveFunds[[#This Row],[Agency]],3)</f>
        <v>350</v>
      </c>
      <c r="C517" t="s">
        <v>433</v>
      </c>
      <c r="D517" t="s">
        <v>1440</v>
      </c>
      <c r="E517" t="str">
        <f>LEFT(Table_clallam_Oversight_ActiveFunds[[#This Row],[Fund]],5)</f>
        <v>536-6</v>
      </c>
    </row>
    <row r="518" ht="15" customHeight="1" spans="1:5" x14ac:dyDescent="0.25">
      <c r="A518">
        <v>1</v>
      </c>
      <c r="B518" t="str">
        <f>LEFT(Table_clallam_Oversight_ActiveFunds[[#This Row],[Agency]],3)</f>
        <v>350</v>
      </c>
      <c r="C518" t="s">
        <v>433</v>
      </c>
      <c r="D518" t="s">
        <v>735</v>
      </c>
      <c r="E518" t="str">
        <f>LEFT(Table_clallam_Oversight_ActiveFunds[[#This Row],[Fund]],5)</f>
        <v>553-1</v>
      </c>
    </row>
    <row r="519" ht="15" customHeight="1" spans="1:5" x14ac:dyDescent="0.25">
      <c r="A519">
        <v>1</v>
      </c>
      <c r="B519" t="str">
        <f>LEFT(Table_clallam_Oversight_ActiveFunds[[#This Row],[Agency]],3)</f>
        <v>350</v>
      </c>
      <c r="C519" t="s">
        <v>433</v>
      </c>
      <c r="D519" t="s">
        <v>971</v>
      </c>
      <c r="E519" t="str">
        <f>LEFT(Table_clallam_Oversight_ActiveFunds[[#This Row],[Fund]],5)</f>
        <v>706-2</v>
      </c>
    </row>
    <row r="520" ht="15" customHeight="1" spans="1:5" x14ac:dyDescent="0.25">
      <c r="A520">
        <v>1</v>
      </c>
      <c r="B520" t="str">
        <f>LEFT(Table_clallam_Oversight_ActiveFunds[[#This Row],[Agency]],3)</f>
        <v>350</v>
      </c>
      <c r="C520" t="s">
        <v>433</v>
      </c>
      <c r="D520" t="s">
        <v>1161</v>
      </c>
      <c r="E520" t="str">
        <f>LEFT(Table_clallam_Oversight_ActiveFunds[[#This Row],[Fund]],5)</f>
        <v>759-6</v>
      </c>
    </row>
    <row r="521" ht="15" customHeight="1" spans="1:5" x14ac:dyDescent="0.25">
      <c r="A521">
        <v>1</v>
      </c>
      <c r="B521" t="str">
        <f>LEFT(Table_clallam_Oversight_ActiveFunds[[#This Row],[Agency]],3)</f>
        <v>351</v>
      </c>
      <c r="C521" t="s">
        <v>1465</v>
      </c>
      <c r="D521" t="s">
        <v>28</v>
      </c>
      <c r="E521" t="str">
        <f>LEFT(Table_clallam_Oversight_ActiveFunds[[#This Row],[Fund]],5)</f>
        <v>001-1</v>
      </c>
    </row>
    <row r="522" ht="15" customHeight="1" spans="1:5" x14ac:dyDescent="0.25">
      <c r="A522">
        <v>1</v>
      </c>
      <c r="B522" t="str">
        <f>LEFT(Table_clallam_Oversight_ActiveFunds[[#This Row],[Agency]],3)</f>
        <v>351</v>
      </c>
      <c r="C522" t="s">
        <v>1465</v>
      </c>
      <c r="D522" t="s">
        <v>712</v>
      </c>
      <c r="E522" t="str">
        <f>LEFT(Table_clallam_Oversight_ActiveFunds[[#This Row],[Fund]],5)</f>
        <v>001-7</v>
      </c>
    </row>
    <row r="523" ht="15" customHeight="1" spans="1:5" x14ac:dyDescent="0.25">
      <c r="A523">
        <v>1</v>
      </c>
      <c r="B523" t="str">
        <f>LEFT(Table_clallam_Oversight_ActiveFunds[[#This Row],[Agency]],3)</f>
        <v>351</v>
      </c>
      <c r="C523" t="s">
        <v>1465</v>
      </c>
      <c r="D523" t="s">
        <v>1293</v>
      </c>
      <c r="E523" t="str">
        <f>LEFT(Table_clallam_Oversight_ActiveFunds[[#This Row],[Fund]],5)</f>
        <v>19B-6</v>
      </c>
    </row>
    <row r="524" ht="15" customHeight="1" spans="1:5" x14ac:dyDescent="0.25">
      <c r="A524">
        <v>1</v>
      </c>
      <c r="B524" t="str">
        <f>LEFT(Table_clallam_Oversight_ActiveFunds[[#This Row],[Agency]],3)</f>
        <v>353</v>
      </c>
      <c r="C524" t="s">
        <v>1466</v>
      </c>
      <c r="D524" t="s">
        <v>28</v>
      </c>
      <c r="E524" t="str">
        <f>LEFT(Table_clallam_Oversight_ActiveFunds[[#This Row],[Fund]],5)</f>
        <v>001-1</v>
      </c>
    </row>
    <row r="525" ht="15" customHeight="1" spans="1:5" x14ac:dyDescent="0.25">
      <c r="A525">
        <v>1</v>
      </c>
      <c r="B525" t="str">
        <f>LEFT(Table_clallam_Oversight_ActiveFunds[[#This Row],[Agency]],3)</f>
        <v>353</v>
      </c>
      <c r="C525" t="s">
        <v>1466</v>
      </c>
      <c r="D525" t="s">
        <v>1297</v>
      </c>
      <c r="E525" t="str">
        <f>LEFT(Table_clallam_Oversight_ActiveFunds[[#This Row],[Fund]],5)</f>
        <v>19H-6</v>
      </c>
    </row>
    <row r="526" ht="15" customHeight="1" spans="1:5" x14ac:dyDescent="0.25">
      <c r="A526">
        <v>1</v>
      </c>
      <c r="B526" t="str">
        <f>LEFT(Table_clallam_Oversight_ActiveFunds[[#This Row],[Agency]],3)</f>
        <v>354</v>
      </c>
      <c r="C526" t="s">
        <v>1467</v>
      </c>
      <c r="D526" t="s">
        <v>28</v>
      </c>
      <c r="E526" t="str">
        <f>LEFT(Table_clallam_Oversight_ActiveFunds[[#This Row],[Fund]],5)</f>
        <v>001-1</v>
      </c>
    </row>
    <row r="527" ht="15" customHeight="1" spans="1:5" x14ac:dyDescent="0.25">
      <c r="A527">
        <v>1</v>
      </c>
      <c r="B527" t="str">
        <f>LEFT(Table_clallam_Oversight_ActiveFunds[[#This Row],[Agency]],3)</f>
        <v>354</v>
      </c>
      <c r="C527" t="s">
        <v>1467</v>
      </c>
      <c r="D527" t="s">
        <v>144</v>
      </c>
      <c r="E527" t="str">
        <f>LEFT(Table_clallam_Oversight_ActiveFunds[[#This Row],[Fund]],5)</f>
        <v>001-2</v>
      </c>
    </row>
    <row r="528" ht="15" customHeight="1" spans="1:5" x14ac:dyDescent="0.25">
      <c r="A528">
        <v>1</v>
      </c>
      <c r="B528" t="str">
        <f>LEFT(Table_clallam_Oversight_ActiveFunds[[#This Row],[Agency]],3)</f>
        <v>354</v>
      </c>
      <c r="C528" t="s">
        <v>1467</v>
      </c>
      <c r="D528" t="s">
        <v>712</v>
      </c>
      <c r="E528" t="str">
        <f>LEFT(Table_clallam_Oversight_ActiveFunds[[#This Row],[Fund]],5)</f>
        <v>001-7</v>
      </c>
    </row>
    <row r="529" ht="15" customHeight="1" spans="1:5" x14ac:dyDescent="0.25">
      <c r="A529">
        <v>1</v>
      </c>
      <c r="B529" t="str">
        <f>LEFT(Table_clallam_Oversight_ActiveFunds[[#This Row],[Agency]],3)</f>
        <v>354</v>
      </c>
      <c r="C529" t="s">
        <v>1467</v>
      </c>
      <c r="D529" t="s">
        <v>442</v>
      </c>
      <c r="E529" t="str">
        <f>LEFT(Table_clallam_Oversight_ActiveFunds[[#This Row],[Fund]],5)</f>
        <v>24J-1</v>
      </c>
    </row>
    <row r="530" ht="15" customHeight="1" spans="1:5" x14ac:dyDescent="0.25">
      <c r="A530">
        <v>1</v>
      </c>
      <c r="B530" t="str">
        <f>LEFT(Table_clallam_Oversight_ActiveFunds[[#This Row],[Agency]],3)</f>
        <v>354</v>
      </c>
      <c r="C530" t="s">
        <v>1467</v>
      </c>
      <c r="D530" t="s">
        <v>1434</v>
      </c>
      <c r="E530" t="str">
        <f>LEFT(Table_clallam_Oversight_ActiveFunds[[#This Row],[Fund]],5)</f>
        <v>503-6</v>
      </c>
    </row>
    <row r="531" ht="15" customHeight="1" spans="1:5" x14ac:dyDescent="0.25">
      <c r="A531">
        <v>1</v>
      </c>
      <c r="B531" t="str">
        <f>LEFT(Table_clallam_Oversight_ActiveFunds[[#This Row],[Agency]],3)</f>
        <v>354</v>
      </c>
      <c r="C531" t="s">
        <v>1467</v>
      </c>
      <c r="D531" t="s">
        <v>971</v>
      </c>
      <c r="E531" t="str">
        <f>LEFT(Table_clallam_Oversight_ActiveFunds[[#This Row],[Fund]],5)</f>
        <v>706-2</v>
      </c>
    </row>
    <row r="532" ht="15" customHeight="1" spans="1:5" x14ac:dyDescent="0.25">
      <c r="A532">
        <v>1</v>
      </c>
      <c r="B532" t="str">
        <f>LEFT(Table_clallam_Oversight_ActiveFunds[[#This Row],[Agency]],3)</f>
        <v>355</v>
      </c>
      <c r="C532" t="s">
        <v>1468</v>
      </c>
      <c r="D532" t="s">
        <v>28</v>
      </c>
      <c r="E532" t="str">
        <f>LEFT(Table_clallam_Oversight_ActiveFunds[[#This Row],[Fund]],5)</f>
        <v>001-1</v>
      </c>
    </row>
    <row r="533" ht="15" customHeight="1" spans="1:5" x14ac:dyDescent="0.25">
      <c r="A533">
        <v>1</v>
      </c>
      <c r="B533" t="str">
        <f>LEFT(Table_clallam_Oversight_ActiveFunds[[#This Row],[Agency]],3)</f>
        <v>355</v>
      </c>
      <c r="C533" t="s">
        <v>1468</v>
      </c>
      <c r="D533" t="s">
        <v>144</v>
      </c>
      <c r="E533" t="str">
        <f>LEFT(Table_clallam_Oversight_ActiveFunds[[#This Row],[Fund]],5)</f>
        <v>001-2</v>
      </c>
    </row>
    <row r="534" ht="15" customHeight="1" spans="1:5" x14ac:dyDescent="0.25">
      <c r="A534">
        <v>1</v>
      </c>
      <c r="B534" t="str">
        <f>LEFT(Table_clallam_Oversight_ActiveFunds[[#This Row],[Agency]],3)</f>
        <v>355</v>
      </c>
      <c r="C534" t="s">
        <v>1468</v>
      </c>
      <c r="D534" t="s">
        <v>712</v>
      </c>
      <c r="E534" t="str">
        <f>LEFT(Table_clallam_Oversight_ActiveFunds[[#This Row],[Fund]],5)</f>
        <v>001-7</v>
      </c>
    </row>
    <row r="535" ht="15" customHeight="1" spans="1:5" x14ac:dyDescent="0.25">
      <c r="A535">
        <v>1</v>
      </c>
      <c r="B535" t="str">
        <f>LEFT(Table_clallam_Oversight_ActiveFunds[[#This Row],[Agency]],3)</f>
        <v>355</v>
      </c>
      <c r="C535" t="s">
        <v>1468</v>
      </c>
      <c r="D535" t="s">
        <v>1206</v>
      </c>
      <c r="E535" t="str">
        <f>LEFT(Table_clallam_Oversight_ActiveFunds[[#This Row],[Fund]],5)</f>
        <v>14P-6</v>
      </c>
    </row>
    <row r="536" ht="15" customHeight="1" spans="1:5" x14ac:dyDescent="0.25">
      <c r="A536">
        <v>1</v>
      </c>
      <c r="B536" t="str">
        <f>LEFT(Table_clallam_Oversight_ActiveFunds[[#This Row],[Agency]],3)</f>
        <v>355</v>
      </c>
      <c r="C536" t="s">
        <v>1468</v>
      </c>
      <c r="D536" t="s">
        <v>699</v>
      </c>
      <c r="E536" t="str">
        <f>LEFT(Table_clallam_Oversight_ActiveFunds[[#This Row],[Fund]],5)</f>
        <v>108-1</v>
      </c>
    </row>
    <row r="537" ht="15" customHeight="1" spans="1:5" x14ac:dyDescent="0.25">
      <c r="A537">
        <v>1</v>
      </c>
      <c r="B537" t="str">
        <f>LEFT(Table_clallam_Oversight_ActiveFunds[[#This Row],[Agency]],3)</f>
        <v>360</v>
      </c>
      <c r="C537" t="s">
        <v>1469</v>
      </c>
      <c r="D537" t="s">
        <v>28</v>
      </c>
      <c r="E537" t="str">
        <f>LEFT(Table_clallam_Oversight_ActiveFunds[[#This Row],[Fund]],5)</f>
        <v>001-1</v>
      </c>
    </row>
    <row r="538" ht="15" customHeight="1" spans="1:5" x14ac:dyDescent="0.25">
      <c r="A538">
        <v>1</v>
      </c>
      <c r="B538" t="str">
        <f>LEFT(Table_clallam_Oversight_ActiveFunds[[#This Row],[Agency]],3)</f>
        <v>360</v>
      </c>
      <c r="C538" t="s">
        <v>1469</v>
      </c>
      <c r="D538" t="s">
        <v>855</v>
      </c>
      <c r="E538" t="str">
        <f>LEFT(Table_clallam_Oversight_ActiveFunds[[#This Row],[Fund]],5)</f>
        <v>02R-1</v>
      </c>
    </row>
    <row r="539" ht="15" customHeight="1" spans="1:5" x14ac:dyDescent="0.25">
      <c r="A539">
        <v>1</v>
      </c>
      <c r="B539" t="str">
        <f>LEFT(Table_clallam_Oversight_ActiveFunds[[#This Row],[Agency]],3)</f>
        <v>360</v>
      </c>
      <c r="C539" t="s">
        <v>1469</v>
      </c>
      <c r="D539" t="s">
        <v>1016</v>
      </c>
      <c r="E539" t="str">
        <f>LEFT(Table_clallam_Oversight_ActiveFunds[[#This Row],[Fund]],5)</f>
        <v>064-1</v>
      </c>
    </row>
    <row r="540" ht="15" customHeight="1" spans="1:5" x14ac:dyDescent="0.25">
      <c r="A540">
        <v>1</v>
      </c>
      <c r="B540" t="str">
        <f>LEFT(Table_clallam_Oversight_ActiveFunds[[#This Row],[Agency]],3)</f>
        <v>360</v>
      </c>
      <c r="C540" t="s">
        <v>1469</v>
      </c>
      <c r="D540" t="s">
        <v>1084</v>
      </c>
      <c r="E540" t="str">
        <f>LEFT(Table_clallam_Oversight_ActiveFunds[[#This Row],[Fund]],5)</f>
        <v>08A-1</v>
      </c>
    </row>
    <row r="541" ht="15" customHeight="1" spans="1:5" x14ac:dyDescent="0.25">
      <c r="A541">
        <v>1</v>
      </c>
      <c r="B541" t="str">
        <f>LEFT(Table_clallam_Oversight_ActiveFunds[[#This Row],[Agency]],3)</f>
        <v>360</v>
      </c>
      <c r="C541" t="s">
        <v>1469</v>
      </c>
      <c r="D541" t="s">
        <v>892</v>
      </c>
      <c r="E541" t="str">
        <f>LEFT(Table_clallam_Oversight_ActiveFunds[[#This Row],[Fund]],5)</f>
        <v>09R-1</v>
      </c>
    </row>
    <row r="542" ht="15" customHeight="1" spans="1:5" x14ac:dyDescent="0.25">
      <c r="A542">
        <v>1</v>
      </c>
      <c r="B542" t="str">
        <f>LEFT(Table_clallam_Oversight_ActiveFunds[[#This Row],[Agency]],3)</f>
        <v>360</v>
      </c>
      <c r="C542" t="s">
        <v>1469</v>
      </c>
      <c r="D542" t="s">
        <v>1185</v>
      </c>
      <c r="E542" t="str">
        <f>LEFT(Table_clallam_Oversight_ActiveFunds[[#This Row],[Fund]],5)</f>
        <v>12P-1</v>
      </c>
    </row>
    <row r="543" ht="15" customHeight="1" spans="1:5" x14ac:dyDescent="0.25">
      <c r="A543">
        <v>1</v>
      </c>
      <c r="B543" t="str">
        <f>LEFT(Table_clallam_Oversight_ActiveFunds[[#This Row],[Agency]],3)</f>
        <v>360</v>
      </c>
      <c r="C543" t="s">
        <v>1469</v>
      </c>
      <c r="D543" t="s">
        <v>1199</v>
      </c>
      <c r="E543" t="str">
        <f>LEFT(Table_clallam_Oversight_ActiveFunds[[#This Row],[Fund]],5)</f>
        <v>145-6</v>
      </c>
    </row>
    <row r="544" ht="15" customHeight="1" spans="1:5" x14ac:dyDescent="0.25">
      <c r="A544">
        <v>1</v>
      </c>
      <c r="B544" t="str">
        <f>LEFT(Table_clallam_Oversight_ActiveFunds[[#This Row],[Agency]],3)</f>
        <v>360</v>
      </c>
      <c r="C544" t="s">
        <v>1469</v>
      </c>
      <c r="D544" t="s">
        <v>1202</v>
      </c>
      <c r="E544" t="str">
        <f>LEFT(Table_clallam_Oversight_ActiveFunds[[#This Row],[Fund]],5)</f>
        <v>148-6</v>
      </c>
    </row>
    <row r="545" ht="15" customHeight="1" spans="1:5" x14ac:dyDescent="0.25">
      <c r="A545">
        <v>1</v>
      </c>
      <c r="B545" t="str">
        <f>LEFT(Table_clallam_Oversight_ActiveFunds[[#This Row],[Agency]],3)</f>
        <v>360</v>
      </c>
      <c r="C545" t="s">
        <v>1469</v>
      </c>
      <c r="D545" t="s">
        <v>1203</v>
      </c>
      <c r="E545" t="str">
        <f>LEFT(Table_clallam_Oversight_ActiveFunds[[#This Row],[Fund]],5)</f>
        <v>149-6</v>
      </c>
    </row>
    <row r="546" ht="15" customHeight="1" spans="1:5" x14ac:dyDescent="0.25">
      <c r="A546">
        <v>1</v>
      </c>
      <c r="B546" t="str">
        <f>LEFT(Table_clallam_Oversight_ActiveFunds[[#This Row],[Agency]],3)</f>
        <v>360</v>
      </c>
      <c r="C546" t="s">
        <v>1469</v>
      </c>
      <c r="D546" t="s">
        <v>372</v>
      </c>
      <c r="E546" t="str">
        <f>LEFT(Table_clallam_Oversight_ActiveFunds[[#This Row],[Fund]],5)</f>
        <v>15M-1</v>
      </c>
    </row>
    <row r="547" ht="15" customHeight="1" spans="1:5" x14ac:dyDescent="0.25">
      <c r="A547">
        <v>1</v>
      </c>
      <c r="B547" t="str">
        <f>LEFT(Table_clallam_Oversight_ActiveFunds[[#This Row],[Agency]],3)</f>
        <v>360</v>
      </c>
      <c r="C547" t="s">
        <v>1469</v>
      </c>
      <c r="D547" t="s">
        <v>442</v>
      </c>
      <c r="E547" t="str">
        <f>LEFT(Table_clallam_Oversight_ActiveFunds[[#This Row],[Fund]],5)</f>
        <v>24J-1</v>
      </c>
    </row>
    <row r="548" ht="15" customHeight="1" spans="1:5" x14ac:dyDescent="0.25">
      <c r="A548">
        <v>1</v>
      </c>
      <c r="B548" t="str">
        <f>LEFT(Table_clallam_Oversight_ActiveFunds[[#This Row],[Agency]],3)</f>
        <v>360</v>
      </c>
      <c r="C548" t="s">
        <v>1469</v>
      </c>
      <c r="D548" t="s">
        <v>1153</v>
      </c>
      <c r="E548" t="str">
        <f>LEFT(Table_clallam_Oversight_ActiveFunds[[#This Row],[Fund]],5)</f>
        <v>315-1</v>
      </c>
    </row>
    <row r="549" ht="15" customHeight="1" spans="1:5" x14ac:dyDescent="0.25">
      <c r="A549">
        <v>1</v>
      </c>
      <c r="B549" t="str">
        <f>LEFT(Table_clallam_Oversight_ActiveFunds[[#This Row],[Agency]],3)</f>
        <v>360</v>
      </c>
      <c r="C549" t="s">
        <v>1469</v>
      </c>
      <c r="D549" t="s">
        <v>1436</v>
      </c>
      <c r="E549" t="str">
        <f>LEFT(Table_clallam_Oversight_ActiveFunds[[#This Row],[Fund]],5)</f>
        <v>505-6</v>
      </c>
    </row>
    <row r="550" ht="15" customHeight="1" spans="1:5" x14ac:dyDescent="0.25">
      <c r="A550">
        <v>1</v>
      </c>
      <c r="B550" t="str">
        <f>LEFT(Table_clallam_Oversight_ActiveFunds[[#This Row],[Agency]],3)</f>
        <v>360</v>
      </c>
      <c r="C550" t="s">
        <v>1469</v>
      </c>
      <c r="D550" t="s">
        <v>285</v>
      </c>
      <c r="E550" t="str">
        <f>LEFT(Table_clallam_Oversight_ActiveFunds[[#This Row],[Fund]],5)</f>
        <v>608-1</v>
      </c>
    </row>
    <row r="551" ht="15" customHeight="1" spans="1:5" x14ac:dyDescent="0.25">
      <c r="A551">
        <v>1</v>
      </c>
      <c r="B551" t="str">
        <f>LEFT(Table_clallam_Oversight_ActiveFunds[[#This Row],[Agency]],3)</f>
        <v>360</v>
      </c>
      <c r="C551" t="s">
        <v>1469</v>
      </c>
      <c r="D551" t="s">
        <v>287</v>
      </c>
      <c r="E551" t="str">
        <f>LEFT(Table_clallam_Oversight_ActiveFunds[[#This Row],[Fund]],5)</f>
        <v>609-1</v>
      </c>
    </row>
    <row r="552" ht="15" customHeight="1" spans="1:5" x14ac:dyDescent="0.25">
      <c r="A552">
        <v>1</v>
      </c>
      <c r="B552" t="str">
        <f>LEFT(Table_clallam_Oversight_ActiveFunds[[#This Row],[Agency]],3)</f>
        <v>365</v>
      </c>
      <c r="C552" t="s">
        <v>1470</v>
      </c>
      <c r="D552" t="s">
        <v>28</v>
      </c>
      <c r="E552" t="str">
        <f>LEFT(Table_clallam_Oversight_ActiveFunds[[#This Row],[Fund]],5)</f>
        <v>001-1</v>
      </c>
    </row>
    <row r="553" ht="15" customHeight="1" spans="1:5" x14ac:dyDescent="0.25">
      <c r="A553">
        <v>1</v>
      </c>
      <c r="B553" t="str">
        <f>LEFT(Table_clallam_Oversight_ActiveFunds[[#This Row],[Agency]],3)</f>
        <v>365</v>
      </c>
      <c r="C553" t="s">
        <v>1470</v>
      </c>
      <c r="D553" t="s">
        <v>758</v>
      </c>
      <c r="E553" t="str">
        <f>LEFT(Table_clallam_Oversight_ActiveFunds[[#This Row],[Fund]],5)</f>
        <v>001-Z</v>
      </c>
    </row>
    <row r="554" ht="15" customHeight="1" spans="1:5" x14ac:dyDescent="0.25">
      <c r="A554">
        <v>1</v>
      </c>
      <c r="B554" t="str">
        <f>LEFT(Table_clallam_Oversight_ActiveFunds[[#This Row],[Agency]],3)</f>
        <v>365</v>
      </c>
      <c r="C554" t="s">
        <v>1470</v>
      </c>
      <c r="D554" t="s">
        <v>935</v>
      </c>
      <c r="E554" t="str">
        <f>LEFT(Table_clallam_Oversight_ActiveFunds[[#This Row],[Fund]],5)</f>
        <v>044-1</v>
      </c>
    </row>
    <row r="555" ht="15" customHeight="1" spans="1:5" x14ac:dyDescent="0.25">
      <c r="A555">
        <v>1</v>
      </c>
      <c r="B555" t="str">
        <f>LEFT(Table_clallam_Oversight_ActiveFunds[[#This Row],[Agency]],3)</f>
        <v>365</v>
      </c>
      <c r="C555" t="s">
        <v>1470</v>
      </c>
      <c r="D555" t="s">
        <v>1012</v>
      </c>
      <c r="E555" t="str">
        <f>LEFT(Table_clallam_Oversight_ActiveFunds[[#This Row],[Fund]],5)</f>
        <v>062-1</v>
      </c>
    </row>
    <row r="556" ht="15" customHeight="1" spans="1:5" x14ac:dyDescent="0.25">
      <c r="A556">
        <v>1</v>
      </c>
      <c r="B556" t="str">
        <f>LEFT(Table_clallam_Oversight_ActiveFunds[[#This Row],[Agency]],3)</f>
        <v>365</v>
      </c>
      <c r="C556" t="s">
        <v>1470</v>
      </c>
      <c r="D556" t="s">
        <v>1084</v>
      </c>
      <c r="E556" t="str">
        <f>LEFT(Table_clallam_Oversight_ActiveFunds[[#This Row],[Fund]],5)</f>
        <v>08A-1</v>
      </c>
    </row>
    <row r="557" ht="15" customHeight="1" spans="1:5" x14ac:dyDescent="0.25">
      <c r="A557">
        <v>1</v>
      </c>
      <c r="B557" t="str">
        <f>LEFT(Table_clallam_Oversight_ActiveFunds[[#This Row],[Agency]],3)</f>
        <v>365</v>
      </c>
      <c r="C557" t="s">
        <v>1470</v>
      </c>
      <c r="D557" t="s">
        <v>1197</v>
      </c>
      <c r="E557" t="str">
        <f>LEFT(Table_clallam_Oversight_ActiveFunds[[#This Row],[Fund]],5)</f>
        <v>143-6</v>
      </c>
    </row>
    <row r="558" ht="15" customHeight="1" spans="1:5" x14ac:dyDescent="0.25">
      <c r="A558">
        <v>1</v>
      </c>
      <c r="B558" t="str">
        <f>LEFT(Table_clallam_Oversight_ActiveFunds[[#This Row],[Agency]],3)</f>
        <v>365</v>
      </c>
      <c r="C558" t="s">
        <v>1470</v>
      </c>
      <c r="D558" t="s">
        <v>1199</v>
      </c>
      <c r="E558" t="str">
        <f>LEFT(Table_clallam_Oversight_ActiveFunds[[#This Row],[Fund]],5)</f>
        <v>145-6</v>
      </c>
    </row>
    <row r="559" ht="15" customHeight="1" spans="1:5" x14ac:dyDescent="0.25">
      <c r="A559">
        <v>1</v>
      </c>
      <c r="B559" t="str">
        <f>LEFT(Table_clallam_Oversight_ActiveFunds[[#This Row],[Agency]],3)</f>
        <v>365</v>
      </c>
      <c r="C559" t="s">
        <v>1470</v>
      </c>
      <c r="D559" t="s">
        <v>1202</v>
      </c>
      <c r="E559" t="str">
        <f>LEFT(Table_clallam_Oversight_ActiveFunds[[#This Row],[Fund]],5)</f>
        <v>148-6</v>
      </c>
    </row>
    <row r="560" ht="15" customHeight="1" spans="1:5" x14ac:dyDescent="0.25">
      <c r="A560">
        <v>1</v>
      </c>
      <c r="B560" t="str">
        <f>LEFT(Table_clallam_Oversight_ActiveFunds[[#This Row],[Agency]],3)</f>
        <v>365</v>
      </c>
      <c r="C560" t="s">
        <v>1470</v>
      </c>
      <c r="D560" t="s">
        <v>1203</v>
      </c>
      <c r="E560" t="str">
        <f>LEFT(Table_clallam_Oversight_ActiveFunds[[#This Row],[Fund]],5)</f>
        <v>149-6</v>
      </c>
    </row>
    <row r="561" ht="15" customHeight="1" spans="1:5" x14ac:dyDescent="0.25">
      <c r="A561">
        <v>1</v>
      </c>
      <c r="B561" t="str">
        <f>LEFT(Table_clallam_Oversight_ActiveFunds[[#This Row],[Agency]],3)</f>
        <v>365</v>
      </c>
      <c r="C561" t="s">
        <v>1470</v>
      </c>
      <c r="D561" t="s">
        <v>1283</v>
      </c>
      <c r="E561" t="str">
        <f>LEFT(Table_clallam_Oversight_ActiveFunds[[#This Row],[Fund]],5)</f>
        <v>23P-1</v>
      </c>
    </row>
    <row r="562" ht="15" customHeight="1" spans="1:5" x14ac:dyDescent="0.25">
      <c r="A562">
        <v>1</v>
      </c>
      <c r="B562" t="str">
        <f>LEFT(Table_clallam_Oversight_ActiveFunds[[#This Row],[Agency]],3)</f>
        <v>365</v>
      </c>
      <c r="C562" t="s">
        <v>1470</v>
      </c>
      <c r="D562" t="s">
        <v>442</v>
      </c>
      <c r="E562" t="str">
        <f>LEFT(Table_clallam_Oversight_ActiveFunds[[#This Row],[Fund]],5)</f>
        <v>24J-1</v>
      </c>
    </row>
    <row r="563" ht="15" customHeight="1" spans="1:5" x14ac:dyDescent="0.25">
      <c r="A563">
        <v>1</v>
      </c>
      <c r="B563" t="str">
        <f>LEFT(Table_clallam_Oversight_ActiveFunds[[#This Row],[Agency]],3)</f>
        <v>365</v>
      </c>
      <c r="C563" t="s">
        <v>1470</v>
      </c>
      <c r="D563" t="s">
        <v>1153</v>
      </c>
      <c r="E563" t="str">
        <f>LEFT(Table_clallam_Oversight_ActiveFunds[[#This Row],[Fund]],5)</f>
        <v>315-1</v>
      </c>
    </row>
    <row r="564" ht="15" customHeight="1" spans="1:5" x14ac:dyDescent="0.25">
      <c r="A564">
        <v>1</v>
      </c>
      <c r="B564" t="str">
        <f>LEFT(Table_clallam_Oversight_ActiveFunds[[#This Row],[Agency]],3)</f>
        <v>365</v>
      </c>
      <c r="C564" t="s">
        <v>1470</v>
      </c>
      <c r="D564" t="s">
        <v>699</v>
      </c>
      <c r="E564" t="str">
        <f>LEFT(Table_clallam_Oversight_ActiveFunds[[#This Row],[Fund]],5)</f>
        <v>108-1</v>
      </c>
    </row>
    <row r="565" ht="15" customHeight="1" spans="1:5" x14ac:dyDescent="0.25">
      <c r="A565">
        <v>1</v>
      </c>
      <c r="B565" t="str">
        <f>LEFT(Table_clallam_Oversight_ActiveFunds[[#This Row],[Agency]],3)</f>
        <v>365</v>
      </c>
      <c r="C565" t="s">
        <v>1470</v>
      </c>
      <c r="D565" t="s">
        <v>723</v>
      </c>
      <c r="E565" t="str">
        <f>LEFT(Table_clallam_Oversight_ActiveFunds[[#This Row],[Fund]],5)</f>
        <v>218-1</v>
      </c>
    </row>
    <row r="566" ht="15" customHeight="1" spans="1:5" x14ac:dyDescent="0.25">
      <c r="A566">
        <v>1</v>
      </c>
      <c r="B566" t="str">
        <f>LEFT(Table_clallam_Oversight_ActiveFunds[[#This Row],[Agency]],3)</f>
        <v>370</v>
      </c>
      <c r="C566" t="s">
        <v>1471</v>
      </c>
      <c r="D566" t="s">
        <v>28</v>
      </c>
      <c r="E566" t="str">
        <f>LEFT(Table_clallam_Oversight_ActiveFunds[[#This Row],[Fund]],5)</f>
        <v>001-1</v>
      </c>
    </row>
    <row r="567" ht="15" customHeight="1" spans="1:5" x14ac:dyDescent="0.25">
      <c r="A567">
        <v>1</v>
      </c>
      <c r="B567" t="str">
        <f>LEFT(Table_clallam_Oversight_ActiveFunds[[#This Row],[Agency]],3)</f>
        <v>370</v>
      </c>
      <c r="C567" t="s">
        <v>1471</v>
      </c>
      <c r="D567" t="s">
        <v>1084</v>
      </c>
      <c r="E567" t="str">
        <f>LEFT(Table_clallam_Oversight_ActiveFunds[[#This Row],[Fund]],5)</f>
        <v>08A-1</v>
      </c>
    </row>
    <row r="568" ht="15" customHeight="1" spans="1:5" x14ac:dyDescent="0.25">
      <c r="A568">
        <v>1</v>
      </c>
      <c r="B568" t="str">
        <f>LEFT(Table_clallam_Oversight_ActiveFunds[[#This Row],[Agency]],3)</f>
        <v>370</v>
      </c>
      <c r="C568" t="s">
        <v>1471</v>
      </c>
      <c r="D568" t="s">
        <v>1199</v>
      </c>
      <c r="E568" t="str">
        <f>LEFT(Table_clallam_Oversight_ActiveFunds[[#This Row],[Fund]],5)</f>
        <v>145-6</v>
      </c>
    </row>
    <row r="569" ht="15" customHeight="1" spans="1:5" x14ac:dyDescent="0.25">
      <c r="A569">
        <v>1</v>
      </c>
      <c r="B569" t="str">
        <f>LEFT(Table_clallam_Oversight_ActiveFunds[[#This Row],[Agency]],3)</f>
        <v>370</v>
      </c>
      <c r="C569" t="s">
        <v>1471</v>
      </c>
      <c r="D569" t="s">
        <v>1202</v>
      </c>
      <c r="E569" t="str">
        <f>LEFT(Table_clallam_Oversight_ActiveFunds[[#This Row],[Fund]],5)</f>
        <v>148-6</v>
      </c>
    </row>
    <row r="570" ht="15" customHeight="1" spans="1:5" x14ac:dyDescent="0.25">
      <c r="A570">
        <v>1</v>
      </c>
      <c r="B570" t="str">
        <f>LEFT(Table_clallam_Oversight_ActiveFunds[[#This Row],[Agency]],3)</f>
        <v>370</v>
      </c>
      <c r="C570" t="s">
        <v>1471</v>
      </c>
      <c r="D570" t="s">
        <v>1203</v>
      </c>
      <c r="E570" t="str">
        <f>LEFT(Table_clallam_Oversight_ActiveFunds[[#This Row],[Fund]],5)</f>
        <v>149-6</v>
      </c>
    </row>
    <row r="571" ht="15" customHeight="1" spans="1:5" x14ac:dyDescent="0.25">
      <c r="A571">
        <v>1</v>
      </c>
      <c r="B571" t="str">
        <f>LEFT(Table_clallam_Oversight_ActiveFunds[[#This Row],[Agency]],3)</f>
        <v>370</v>
      </c>
      <c r="C571" t="s">
        <v>1471</v>
      </c>
      <c r="D571" t="s">
        <v>442</v>
      </c>
      <c r="E571" t="str">
        <f>LEFT(Table_clallam_Oversight_ActiveFunds[[#This Row],[Fund]],5)</f>
        <v>24J-1</v>
      </c>
    </row>
    <row r="572" ht="15" customHeight="1" spans="1:5" x14ac:dyDescent="0.25">
      <c r="A572">
        <v>1</v>
      </c>
      <c r="B572" t="str">
        <f>LEFT(Table_clallam_Oversight_ActiveFunds[[#This Row],[Agency]],3)</f>
        <v>375</v>
      </c>
      <c r="C572" t="s">
        <v>1472</v>
      </c>
      <c r="D572" t="s">
        <v>28</v>
      </c>
      <c r="E572" t="str">
        <f>LEFT(Table_clallam_Oversight_ActiveFunds[[#This Row],[Fund]],5)</f>
        <v>001-1</v>
      </c>
    </row>
    <row r="573" ht="15" customHeight="1" spans="1:5" x14ac:dyDescent="0.25">
      <c r="A573">
        <v>1</v>
      </c>
      <c r="B573" t="str">
        <f>LEFT(Table_clallam_Oversight_ActiveFunds[[#This Row],[Agency]],3)</f>
        <v>375</v>
      </c>
      <c r="C573" t="s">
        <v>1472</v>
      </c>
      <c r="D573" t="s">
        <v>1014</v>
      </c>
      <c r="E573" t="str">
        <f>LEFT(Table_clallam_Oversight_ActiveFunds[[#This Row],[Fund]],5)</f>
        <v>063-1</v>
      </c>
    </row>
    <row r="574" ht="15" customHeight="1" spans="1:5" x14ac:dyDescent="0.25">
      <c r="A574">
        <v>1</v>
      </c>
      <c r="B574" t="str">
        <f>LEFT(Table_clallam_Oversight_ActiveFunds[[#This Row],[Agency]],3)</f>
        <v>375</v>
      </c>
      <c r="C574" t="s">
        <v>1472</v>
      </c>
      <c r="D574" t="s">
        <v>1084</v>
      </c>
      <c r="E574" t="str">
        <f>LEFT(Table_clallam_Oversight_ActiveFunds[[#This Row],[Fund]],5)</f>
        <v>08A-1</v>
      </c>
    </row>
    <row r="575" ht="15" customHeight="1" spans="1:5" x14ac:dyDescent="0.25">
      <c r="A575">
        <v>1</v>
      </c>
      <c r="B575" t="str">
        <f>LEFT(Table_clallam_Oversight_ActiveFunds[[#This Row],[Agency]],3)</f>
        <v>375</v>
      </c>
      <c r="C575" t="s">
        <v>1472</v>
      </c>
      <c r="D575" t="s">
        <v>1199</v>
      </c>
      <c r="E575" t="str">
        <f>LEFT(Table_clallam_Oversight_ActiveFunds[[#This Row],[Fund]],5)</f>
        <v>145-6</v>
      </c>
    </row>
    <row r="576" ht="15" customHeight="1" spans="1:5" x14ac:dyDescent="0.25">
      <c r="A576">
        <v>1</v>
      </c>
      <c r="B576" t="str">
        <f>LEFT(Table_clallam_Oversight_ActiveFunds[[#This Row],[Agency]],3)</f>
        <v>375</v>
      </c>
      <c r="C576" t="s">
        <v>1472</v>
      </c>
      <c r="D576" t="s">
        <v>1202</v>
      </c>
      <c r="E576" t="str">
        <f>LEFT(Table_clallam_Oversight_ActiveFunds[[#This Row],[Fund]],5)</f>
        <v>148-6</v>
      </c>
    </row>
    <row r="577" ht="15" customHeight="1" spans="1:5" x14ac:dyDescent="0.25">
      <c r="A577">
        <v>1</v>
      </c>
      <c r="B577" t="str">
        <f>LEFT(Table_clallam_Oversight_ActiveFunds[[#This Row],[Agency]],3)</f>
        <v>375</v>
      </c>
      <c r="C577" t="s">
        <v>1472</v>
      </c>
      <c r="D577" t="s">
        <v>1203</v>
      </c>
      <c r="E577" t="str">
        <f>LEFT(Table_clallam_Oversight_ActiveFunds[[#This Row],[Fund]],5)</f>
        <v>149-6</v>
      </c>
    </row>
    <row r="578" ht="15" customHeight="1" spans="1:5" x14ac:dyDescent="0.25">
      <c r="A578">
        <v>1</v>
      </c>
      <c r="B578" t="str">
        <f>LEFT(Table_clallam_Oversight_ActiveFunds[[#This Row],[Agency]],3)</f>
        <v>375</v>
      </c>
      <c r="C578" t="s">
        <v>1472</v>
      </c>
      <c r="D578" t="s">
        <v>442</v>
      </c>
      <c r="E578" t="str">
        <f>LEFT(Table_clallam_Oversight_ActiveFunds[[#This Row],[Fund]],5)</f>
        <v>24J-1</v>
      </c>
    </row>
    <row r="579" ht="15" customHeight="1" spans="1:5" x14ac:dyDescent="0.25">
      <c r="A579">
        <v>1</v>
      </c>
      <c r="B579" t="str">
        <f>LEFT(Table_clallam_Oversight_ActiveFunds[[#This Row],[Agency]],3)</f>
        <v>376</v>
      </c>
      <c r="C579" t="s">
        <v>1473</v>
      </c>
      <c r="D579" t="s">
        <v>28</v>
      </c>
      <c r="E579" t="str">
        <f>LEFT(Table_clallam_Oversight_ActiveFunds[[#This Row],[Fund]],5)</f>
        <v>001-1</v>
      </c>
    </row>
    <row r="580" ht="15" customHeight="1" spans="1:5" x14ac:dyDescent="0.25">
      <c r="A580">
        <v>1</v>
      </c>
      <c r="B580" t="str">
        <f>LEFT(Table_clallam_Oversight_ActiveFunds[[#This Row],[Agency]],3)</f>
        <v>376</v>
      </c>
      <c r="C580" t="s">
        <v>1473</v>
      </c>
      <c r="D580" t="s">
        <v>1022</v>
      </c>
      <c r="E580" t="str">
        <f>LEFT(Table_clallam_Oversight_ActiveFunds[[#This Row],[Fund]],5)</f>
        <v>066-1</v>
      </c>
    </row>
    <row r="581" ht="15" customHeight="1" spans="1:5" x14ac:dyDescent="0.25">
      <c r="A581">
        <v>1</v>
      </c>
      <c r="B581" t="str">
        <f>LEFT(Table_clallam_Oversight_ActiveFunds[[#This Row],[Agency]],3)</f>
        <v>376</v>
      </c>
      <c r="C581" t="s">
        <v>1473</v>
      </c>
      <c r="D581" t="s">
        <v>1084</v>
      </c>
      <c r="E581" t="str">
        <f>LEFT(Table_clallam_Oversight_ActiveFunds[[#This Row],[Fund]],5)</f>
        <v>08A-1</v>
      </c>
    </row>
    <row r="582" ht="15" customHeight="1" spans="1:5" x14ac:dyDescent="0.25">
      <c r="A582">
        <v>1</v>
      </c>
      <c r="B582" t="str">
        <f>LEFT(Table_clallam_Oversight_ActiveFunds[[#This Row],[Agency]],3)</f>
        <v>376</v>
      </c>
      <c r="C582" t="s">
        <v>1473</v>
      </c>
      <c r="D582" t="s">
        <v>1199</v>
      </c>
      <c r="E582" t="str">
        <f>LEFT(Table_clallam_Oversight_ActiveFunds[[#This Row],[Fund]],5)</f>
        <v>145-6</v>
      </c>
    </row>
    <row r="583" ht="15" customHeight="1" spans="1:5" x14ac:dyDescent="0.25">
      <c r="A583">
        <v>1</v>
      </c>
      <c r="B583" t="str">
        <f>LEFT(Table_clallam_Oversight_ActiveFunds[[#This Row],[Agency]],3)</f>
        <v>376</v>
      </c>
      <c r="C583" t="s">
        <v>1473</v>
      </c>
      <c r="D583" t="s">
        <v>1202</v>
      </c>
      <c r="E583" t="str">
        <f>LEFT(Table_clallam_Oversight_ActiveFunds[[#This Row],[Fund]],5)</f>
        <v>148-6</v>
      </c>
    </row>
    <row r="584" ht="15" customHeight="1" spans="1:5" x14ac:dyDescent="0.25">
      <c r="A584">
        <v>1</v>
      </c>
      <c r="B584" t="str">
        <f>LEFT(Table_clallam_Oversight_ActiveFunds[[#This Row],[Agency]],3)</f>
        <v>376</v>
      </c>
      <c r="C584" t="s">
        <v>1473</v>
      </c>
      <c r="D584" t="s">
        <v>1203</v>
      </c>
      <c r="E584" t="str">
        <f>LEFT(Table_clallam_Oversight_ActiveFunds[[#This Row],[Fund]],5)</f>
        <v>149-6</v>
      </c>
    </row>
    <row r="585" ht="15" customHeight="1" spans="1:5" x14ac:dyDescent="0.25">
      <c r="A585">
        <v>1</v>
      </c>
      <c r="B585" t="str">
        <f>LEFT(Table_clallam_Oversight_ActiveFunds[[#This Row],[Agency]],3)</f>
        <v>376</v>
      </c>
      <c r="C585" t="s">
        <v>1473</v>
      </c>
      <c r="D585" t="s">
        <v>442</v>
      </c>
      <c r="E585" t="str">
        <f>LEFT(Table_clallam_Oversight_ActiveFunds[[#This Row],[Fund]],5)</f>
        <v>24J-1</v>
      </c>
    </row>
    <row r="586" ht="15" customHeight="1" spans="1:5" x14ac:dyDescent="0.25">
      <c r="A586">
        <v>1</v>
      </c>
      <c r="B586" t="str">
        <f>LEFT(Table_clallam_Oversight_ActiveFunds[[#This Row],[Agency]],3)</f>
        <v>376</v>
      </c>
      <c r="C586" t="s">
        <v>1473</v>
      </c>
      <c r="D586" t="s">
        <v>699</v>
      </c>
      <c r="E586" t="str">
        <f>LEFT(Table_clallam_Oversight_ActiveFunds[[#This Row],[Fund]],5)</f>
        <v>108-1</v>
      </c>
    </row>
    <row r="587" ht="15" customHeight="1" spans="1:5" x14ac:dyDescent="0.25">
      <c r="A587">
        <v>1</v>
      </c>
      <c r="B587" t="str">
        <f>LEFT(Table_clallam_Oversight_ActiveFunds[[#This Row],[Agency]],3)</f>
        <v>380</v>
      </c>
      <c r="C587" t="s">
        <v>1474</v>
      </c>
      <c r="D587" t="s">
        <v>28</v>
      </c>
      <c r="E587" t="str">
        <f>LEFT(Table_clallam_Oversight_ActiveFunds[[#This Row],[Fund]],5)</f>
        <v>001-1</v>
      </c>
    </row>
    <row r="588" ht="15" customHeight="1" spans="1:5" x14ac:dyDescent="0.25">
      <c r="A588">
        <v>1</v>
      </c>
      <c r="B588" t="str">
        <f>LEFT(Table_clallam_Oversight_ActiveFunds[[#This Row],[Agency]],3)</f>
        <v>380</v>
      </c>
      <c r="C588" t="s">
        <v>1474</v>
      </c>
      <c r="D588" t="s">
        <v>1019</v>
      </c>
      <c r="E588" t="str">
        <f>LEFT(Table_clallam_Oversight_ActiveFunds[[#This Row],[Fund]],5)</f>
        <v>065-1</v>
      </c>
    </row>
    <row r="589" ht="15" customHeight="1" spans="1:5" x14ac:dyDescent="0.25">
      <c r="A589">
        <v>1</v>
      </c>
      <c r="B589" t="str">
        <f>LEFT(Table_clallam_Oversight_ActiveFunds[[#This Row],[Agency]],3)</f>
        <v>380</v>
      </c>
      <c r="C589" t="s">
        <v>1474</v>
      </c>
      <c r="D589" t="s">
        <v>1084</v>
      </c>
      <c r="E589" t="str">
        <f>LEFT(Table_clallam_Oversight_ActiveFunds[[#This Row],[Fund]],5)</f>
        <v>08A-1</v>
      </c>
    </row>
    <row r="590" ht="15" customHeight="1" spans="1:5" x14ac:dyDescent="0.25">
      <c r="A590">
        <v>1</v>
      </c>
      <c r="B590" t="str">
        <f>LEFT(Table_clallam_Oversight_ActiveFunds[[#This Row],[Agency]],3)</f>
        <v>380</v>
      </c>
      <c r="C590" t="s">
        <v>1474</v>
      </c>
      <c r="D590" t="s">
        <v>1199</v>
      </c>
      <c r="E590" t="str">
        <f>LEFT(Table_clallam_Oversight_ActiveFunds[[#This Row],[Fund]],5)</f>
        <v>145-6</v>
      </c>
    </row>
    <row r="591" ht="15" customHeight="1" spans="1:5" x14ac:dyDescent="0.25">
      <c r="A591">
        <v>1</v>
      </c>
      <c r="B591" t="str">
        <f>LEFT(Table_clallam_Oversight_ActiveFunds[[#This Row],[Agency]],3)</f>
        <v>380</v>
      </c>
      <c r="C591" t="s">
        <v>1474</v>
      </c>
      <c r="D591" t="s">
        <v>1202</v>
      </c>
      <c r="E591" t="str">
        <f>LEFT(Table_clallam_Oversight_ActiveFunds[[#This Row],[Fund]],5)</f>
        <v>148-6</v>
      </c>
    </row>
    <row r="592" ht="15" customHeight="1" spans="1:5" x14ac:dyDescent="0.25">
      <c r="A592">
        <v>1</v>
      </c>
      <c r="B592" t="str">
        <f>LEFT(Table_clallam_Oversight_ActiveFunds[[#This Row],[Agency]],3)</f>
        <v>380</v>
      </c>
      <c r="C592" t="s">
        <v>1474</v>
      </c>
      <c r="D592" t="s">
        <v>1203</v>
      </c>
      <c r="E592" t="str">
        <f>LEFT(Table_clallam_Oversight_ActiveFunds[[#This Row],[Fund]],5)</f>
        <v>149-6</v>
      </c>
    </row>
    <row r="593" ht="15" customHeight="1" spans="1:5" x14ac:dyDescent="0.25">
      <c r="A593">
        <v>1</v>
      </c>
      <c r="B593" t="str">
        <f>LEFT(Table_clallam_Oversight_ActiveFunds[[#This Row],[Agency]],3)</f>
        <v>380</v>
      </c>
      <c r="C593" t="s">
        <v>1474</v>
      </c>
      <c r="D593" t="s">
        <v>442</v>
      </c>
      <c r="E593" t="str">
        <f>LEFT(Table_clallam_Oversight_ActiveFunds[[#This Row],[Fund]],5)</f>
        <v>24J-1</v>
      </c>
    </row>
    <row r="594" ht="15" customHeight="1" spans="1:5" x14ac:dyDescent="0.25">
      <c r="A594">
        <v>1</v>
      </c>
      <c r="B594" t="str">
        <f>LEFT(Table_clallam_Oversight_ActiveFunds[[#This Row],[Agency]],3)</f>
        <v>387</v>
      </c>
      <c r="C594" t="s">
        <v>1475</v>
      </c>
      <c r="D594" t="s">
        <v>28</v>
      </c>
      <c r="E594" t="str">
        <f>LEFT(Table_clallam_Oversight_ActiveFunds[[#This Row],[Fund]],5)</f>
        <v>001-1</v>
      </c>
    </row>
    <row r="595" ht="15" customHeight="1" spans="1:5" x14ac:dyDescent="0.25">
      <c r="A595">
        <v>1</v>
      </c>
      <c r="B595" t="str">
        <f>LEFT(Table_clallam_Oversight_ActiveFunds[[#This Row],[Agency]],3)</f>
        <v>387</v>
      </c>
      <c r="C595" t="s">
        <v>1475</v>
      </c>
      <c r="D595" t="s">
        <v>144</v>
      </c>
      <c r="E595" t="str">
        <f>LEFT(Table_clallam_Oversight_ActiveFunds[[#This Row],[Fund]],5)</f>
        <v>001-2</v>
      </c>
    </row>
    <row r="596" ht="15" customHeight="1" spans="1:5" x14ac:dyDescent="0.25">
      <c r="A596">
        <v>1</v>
      </c>
      <c r="B596" t="str">
        <f>LEFT(Table_clallam_Oversight_ActiveFunds[[#This Row],[Agency]],3)</f>
        <v>387</v>
      </c>
      <c r="C596" t="s">
        <v>1475</v>
      </c>
      <c r="D596" t="s">
        <v>712</v>
      </c>
      <c r="E596" t="str">
        <f>LEFT(Table_clallam_Oversight_ActiveFunds[[#This Row],[Fund]],5)</f>
        <v>001-7</v>
      </c>
    </row>
    <row r="597" ht="15" customHeight="1" spans="1:5" x14ac:dyDescent="0.25">
      <c r="A597">
        <v>1</v>
      </c>
      <c r="B597" t="str">
        <f>LEFT(Table_clallam_Oversight_ActiveFunds[[#This Row],[Agency]],3)</f>
        <v>387</v>
      </c>
      <c r="C597" t="s">
        <v>1475</v>
      </c>
      <c r="D597" t="s">
        <v>737</v>
      </c>
      <c r="E597" t="str">
        <f>LEFT(Table_clallam_Oversight_ActiveFunds[[#This Row],[Fund]],5)</f>
        <v>001-H</v>
      </c>
    </row>
    <row r="598" ht="15" customHeight="1" spans="1:5" x14ac:dyDescent="0.25">
      <c r="A598">
        <v>1</v>
      </c>
      <c r="B598" t="str">
        <f>LEFT(Table_clallam_Oversight_ActiveFunds[[#This Row],[Agency]],3)</f>
        <v>387</v>
      </c>
      <c r="C598" t="s">
        <v>1475</v>
      </c>
      <c r="D598" t="s">
        <v>753</v>
      </c>
      <c r="E598" t="str">
        <f>LEFT(Table_clallam_Oversight_ActiveFunds[[#This Row],[Fund]],5)</f>
        <v>001-Y</v>
      </c>
    </row>
    <row r="599" ht="15" customHeight="1" spans="1:5" x14ac:dyDescent="0.25">
      <c r="A599">
        <v>1</v>
      </c>
      <c r="B599" t="str">
        <f>LEFT(Table_clallam_Oversight_ActiveFunds[[#This Row],[Agency]],3)</f>
        <v>387</v>
      </c>
      <c r="C599" t="s">
        <v>1475</v>
      </c>
      <c r="D599" t="s">
        <v>971</v>
      </c>
      <c r="E599" t="str">
        <f>LEFT(Table_clallam_Oversight_ActiveFunds[[#This Row],[Fund]],5)</f>
        <v>706-2</v>
      </c>
    </row>
    <row r="600" ht="15" customHeight="1" spans="1:5" x14ac:dyDescent="0.25">
      <c r="A600">
        <v>1</v>
      </c>
      <c r="B600" t="str">
        <f>LEFT(Table_clallam_Oversight_ActiveFunds[[#This Row],[Agency]],3)</f>
        <v>390</v>
      </c>
      <c r="C600" t="s">
        <v>1476</v>
      </c>
      <c r="D600" t="s">
        <v>28</v>
      </c>
      <c r="E600" t="str">
        <f>LEFT(Table_clallam_Oversight_ActiveFunds[[#This Row],[Fund]],5)</f>
        <v>001-1</v>
      </c>
    </row>
    <row r="601" ht="15" customHeight="1" spans="1:5" x14ac:dyDescent="0.25">
      <c r="A601">
        <v>1</v>
      </c>
      <c r="B601" t="str">
        <f>LEFT(Table_clallam_Oversight_ActiveFunds[[#This Row],[Agency]],3)</f>
        <v>390</v>
      </c>
      <c r="C601" t="s">
        <v>1476</v>
      </c>
      <c r="D601" t="s">
        <v>1270</v>
      </c>
      <c r="E601" t="str">
        <f>LEFT(Table_clallam_Oversight_ActiveFunds[[#This Row],[Fund]],5)</f>
        <v>184-6</v>
      </c>
    </row>
    <row r="602" ht="15" customHeight="1" spans="1:5" x14ac:dyDescent="0.25">
      <c r="A602">
        <v>1</v>
      </c>
      <c r="B602" t="str">
        <f>LEFT(Table_clallam_Oversight_ActiveFunds[[#This Row],[Agency]],3)</f>
        <v>395</v>
      </c>
      <c r="C602" t="s">
        <v>1477</v>
      </c>
      <c r="D602" t="s">
        <v>28</v>
      </c>
      <c r="E602" t="str">
        <f>LEFT(Table_clallam_Oversight_ActiveFunds[[#This Row],[Fund]],5)</f>
        <v>001-1</v>
      </c>
    </row>
    <row r="603" ht="15" customHeight="1" spans="1:5" x14ac:dyDescent="0.25">
      <c r="A603">
        <v>1</v>
      </c>
      <c r="B603" t="str">
        <f>LEFT(Table_clallam_Oversight_ActiveFunds[[#This Row],[Agency]],3)</f>
        <v>395</v>
      </c>
      <c r="C603" t="s">
        <v>1477</v>
      </c>
      <c r="D603" t="s">
        <v>1272</v>
      </c>
      <c r="E603" t="str">
        <f>LEFT(Table_clallam_Oversight_ActiveFunds[[#This Row],[Fund]],5)</f>
        <v>185-6</v>
      </c>
    </row>
    <row r="604" ht="15" customHeight="1" spans="1:5" x14ac:dyDescent="0.25">
      <c r="A604">
        <v>1</v>
      </c>
      <c r="B604" t="str">
        <f>LEFT(Table_clallam_Oversight_ActiveFunds[[#This Row],[Agency]],3)</f>
        <v>405</v>
      </c>
      <c r="C604" t="s">
        <v>1478</v>
      </c>
      <c r="D604" t="s">
        <v>845</v>
      </c>
      <c r="E604" t="str">
        <f>LEFT(Table_clallam_Oversight_ActiveFunds[[#This Row],[Fund]],5)</f>
        <v>02M-1</v>
      </c>
    </row>
    <row r="605" ht="15" customHeight="1" spans="1:5" x14ac:dyDescent="0.25">
      <c r="A605">
        <v>1</v>
      </c>
      <c r="B605" t="str">
        <f>LEFT(Table_clallam_Oversight_ActiveFunds[[#This Row],[Agency]],3)</f>
        <v>405</v>
      </c>
      <c r="C605" t="s">
        <v>1478</v>
      </c>
      <c r="D605" t="s">
        <v>875</v>
      </c>
      <c r="E605" t="str">
        <f>LEFT(Table_clallam_Oversight_ActiveFunds[[#This Row],[Fund]],5)</f>
        <v>039-1</v>
      </c>
    </row>
    <row r="606" ht="15" customHeight="1" spans="1:5" x14ac:dyDescent="0.25">
      <c r="A606">
        <v>1</v>
      </c>
      <c r="B606" t="str">
        <f>LEFT(Table_clallam_Oversight_ActiveFunds[[#This Row],[Agency]],3)</f>
        <v>405</v>
      </c>
      <c r="C606" t="s">
        <v>1478</v>
      </c>
      <c r="D606" t="s">
        <v>879</v>
      </c>
      <c r="E606" t="str">
        <f>LEFT(Table_clallam_Oversight_ActiveFunds[[#This Row],[Fund]],5)</f>
        <v>039-2</v>
      </c>
    </row>
    <row r="607" ht="15" customHeight="1" spans="1:5" x14ac:dyDescent="0.25">
      <c r="A607">
        <v>1</v>
      </c>
      <c r="B607" t="str">
        <f>LEFT(Table_clallam_Oversight_ActiveFunds[[#This Row],[Agency]],3)</f>
        <v>405</v>
      </c>
      <c r="C607" t="s">
        <v>1478</v>
      </c>
      <c r="D607" t="s">
        <v>884</v>
      </c>
      <c r="E607" t="str">
        <f>LEFT(Table_clallam_Oversight_ActiveFunds[[#This Row],[Fund]],5)</f>
        <v>039-7</v>
      </c>
    </row>
    <row r="608" ht="15" customHeight="1" spans="1:5" x14ac:dyDescent="0.25">
      <c r="A608">
        <v>1</v>
      </c>
      <c r="B608" t="str">
        <f>LEFT(Table_clallam_Oversight_ActiveFunds[[#This Row],[Agency]],3)</f>
        <v>405</v>
      </c>
      <c r="C608" t="s">
        <v>1478</v>
      </c>
      <c r="D608" t="s">
        <v>940</v>
      </c>
      <c r="E608" t="str">
        <f>LEFT(Table_clallam_Oversight_ActiveFunds[[#This Row],[Fund]],5)</f>
        <v>045-1</v>
      </c>
    </row>
    <row r="609" ht="15" customHeight="1" spans="1:5" x14ac:dyDescent="0.25">
      <c r="A609">
        <v>1</v>
      </c>
      <c r="B609" t="str">
        <f>LEFT(Table_clallam_Oversight_ActiveFunds[[#This Row],[Agency]],3)</f>
        <v>405</v>
      </c>
      <c r="C609" t="s">
        <v>1478</v>
      </c>
      <c r="D609" t="s">
        <v>1104</v>
      </c>
      <c r="E609" t="str">
        <f>LEFT(Table_clallam_Oversight_ActiveFunds[[#This Row],[Fund]],5)</f>
        <v>08R-1</v>
      </c>
    </row>
    <row r="610" ht="15" customHeight="1" spans="1:5" x14ac:dyDescent="0.25">
      <c r="A610">
        <v>1</v>
      </c>
      <c r="B610" t="str">
        <f>LEFT(Table_clallam_Oversight_ActiveFunds[[#This Row],[Agency]],3)</f>
        <v>405</v>
      </c>
      <c r="C610" t="s">
        <v>1478</v>
      </c>
      <c r="D610" t="s">
        <v>1108</v>
      </c>
      <c r="E610" t="str">
        <f>LEFT(Table_clallam_Oversight_ActiveFunds[[#This Row],[Fund]],5)</f>
        <v>094-1</v>
      </c>
    </row>
    <row r="611" ht="15" customHeight="1" spans="1:5" x14ac:dyDescent="0.25">
      <c r="A611">
        <v>1</v>
      </c>
      <c r="B611" t="str">
        <f>LEFT(Table_clallam_Oversight_ActiveFunds[[#This Row],[Agency]],3)</f>
        <v>405</v>
      </c>
      <c r="C611" t="s">
        <v>1478</v>
      </c>
      <c r="D611" t="s">
        <v>1111</v>
      </c>
      <c r="E611" t="str">
        <f>LEFT(Table_clallam_Oversight_ActiveFunds[[#This Row],[Fund]],5)</f>
        <v>096-1</v>
      </c>
    </row>
    <row r="612" ht="15" customHeight="1" spans="1:5" x14ac:dyDescent="0.25">
      <c r="A612">
        <v>1</v>
      </c>
      <c r="B612" t="str">
        <f>LEFT(Table_clallam_Oversight_ActiveFunds[[#This Row],[Agency]],3)</f>
        <v>405</v>
      </c>
      <c r="C612" t="s">
        <v>1478</v>
      </c>
      <c r="D612" t="s">
        <v>1113</v>
      </c>
      <c r="E612" t="str">
        <f>LEFT(Table_clallam_Oversight_ActiveFunds[[#This Row],[Fund]],5)</f>
        <v>096-2</v>
      </c>
    </row>
    <row r="613" ht="15" customHeight="1" spans="1:5" x14ac:dyDescent="0.25">
      <c r="A613">
        <v>1</v>
      </c>
      <c r="B613" t="str">
        <f>LEFT(Table_clallam_Oversight_ActiveFunds[[#This Row],[Agency]],3)</f>
        <v>405</v>
      </c>
      <c r="C613" t="s">
        <v>1478</v>
      </c>
      <c r="D613" t="s">
        <v>1114</v>
      </c>
      <c r="E613" t="str">
        <f>LEFT(Table_clallam_Oversight_ActiveFunds[[#This Row],[Fund]],5)</f>
        <v>097-1</v>
      </c>
    </row>
    <row r="614" ht="15" customHeight="1" spans="1:5" x14ac:dyDescent="0.25">
      <c r="A614">
        <v>1</v>
      </c>
      <c r="B614" t="str">
        <f>LEFT(Table_clallam_Oversight_ActiveFunds[[#This Row],[Agency]],3)</f>
        <v>405</v>
      </c>
      <c r="C614" t="s">
        <v>1478</v>
      </c>
      <c r="D614" t="s">
        <v>741</v>
      </c>
      <c r="E614" t="str">
        <f>LEFT(Table_clallam_Oversight_ActiveFunds[[#This Row],[Fund]],5)</f>
        <v>099-1</v>
      </c>
    </row>
    <row r="615" ht="15" customHeight="1" spans="1:5" x14ac:dyDescent="0.25">
      <c r="A615">
        <v>1</v>
      </c>
      <c r="B615" t="str">
        <f>LEFT(Table_clallam_Oversight_ActiveFunds[[#This Row],[Agency]],3)</f>
        <v>405</v>
      </c>
      <c r="C615" t="s">
        <v>1478</v>
      </c>
      <c r="D615" t="s">
        <v>1118</v>
      </c>
      <c r="E615" t="str">
        <f>LEFT(Table_clallam_Oversight_ActiveFunds[[#This Row],[Fund]],5)</f>
        <v>099-2</v>
      </c>
    </row>
    <row r="616" ht="15" customHeight="1" spans="1:5" x14ac:dyDescent="0.25">
      <c r="A616">
        <v>1</v>
      </c>
      <c r="B616" t="str">
        <f>LEFT(Table_clallam_Oversight_ActiveFunds[[#This Row],[Agency]],3)</f>
        <v>405</v>
      </c>
      <c r="C616" t="s">
        <v>1478</v>
      </c>
      <c r="D616" t="s">
        <v>1119</v>
      </c>
      <c r="E616" t="str">
        <f>LEFT(Table_clallam_Oversight_ActiveFunds[[#This Row],[Fund]],5)</f>
        <v>099-7</v>
      </c>
    </row>
    <row r="617" ht="15" customHeight="1" spans="1:5" x14ac:dyDescent="0.25">
      <c r="A617">
        <v>1</v>
      </c>
      <c r="B617" t="str">
        <f>LEFT(Table_clallam_Oversight_ActiveFunds[[#This Row],[Agency]],3)</f>
        <v>405</v>
      </c>
      <c r="C617" t="s">
        <v>1478</v>
      </c>
      <c r="D617" t="s">
        <v>1122</v>
      </c>
      <c r="E617" t="str">
        <f>LEFT(Table_clallam_Oversight_ActiveFunds[[#This Row],[Fund]],5)</f>
        <v>09H-1</v>
      </c>
    </row>
    <row r="618" ht="15" customHeight="1" spans="1:5" x14ac:dyDescent="0.25">
      <c r="A618">
        <v>1</v>
      </c>
      <c r="B618" t="str">
        <f>LEFT(Table_clallam_Oversight_ActiveFunds[[#This Row],[Agency]],3)</f>
        <v>405</v>
      </c>
      <c r="C618" t="s">
        <v>1478</v>
      </c>
      <c r="D618" t="s">
        <v>1123</v>
      </c>
      <c r="E618" t="str">
        <f>LEFT(Table_clallam_Oversight_ActiveFunds[[#This Row],[Fund]],5)</f>
        <v>09H-T</v>
      </c>
    </row>
    <row r="619" ht="15" customHeight="1" spans="1:5" x14ac:dyDescent="0.25">
      <c r="A619">
        <v>1</v>
      </c>
      <c r="B619" t="str">
        <f>LEFT(Table_clallam_Oversight_ActiveFunds[[#This Row],[Agency]],3)</f>
        <v>405</v>
      </c>
      <c r="C619" t="s">
        <v>1478</v>
      </c>
      <c r="D619" t="s">
        <v>699</v>
      </c>
      <c r="E619" t="str">
        <f>LEFT(Table_clallam_Oversight_ActiveFunds[[#This Row],[Fund]],5)</f>
        <v>108-1</v>
      </c>
    </row>
    <row r="620" ht="15" customHeight="1" spans="1:5" x14ac:dyDescent="0.25">
      <c r="A620">
        <v>1</v>
      </c>
      <c r="B620" t="str">
        <f>LEFT(Table_clallam_Oversight_ActiveFunds[[#This Row],[Agency]],3)</f>
        <v>405</v>
      </c>
      <c r="C620" t="s">
        <v>1478</v>
      </c>
      <c r="D620" t="s">
        <v>1137</v>
      </c>
      <c r="E620" t="str">
        <f>LEFT(Table_clallam_Oversight_ActiveFunds[[#This Row],[Fund]],5)</f>
        <v>108-2</v>
      </c>
    </row>
    <row r="621" ht="15" customHeight="1" spans="1:5" x14ac:dyDescent="0.25">
      <c r="A621">
        <v>1</v>
      </c>
      <c r="B621" t="str">
        <f>LEFT(Table_clallam_Oversight_ActiveFunds[[#This Row],[Agency]],3)</f>
        <v>405</v>
      </c>
      <c r="C621" t="s">
        <v>1478</v>
      </c>
      <c r="D621" t="s">
        <v>1139</v>
      </c>
      <c r="E621" t="str">
        <f>LEFT(Table_clallam_Oversight_ActiveFunds[[#This Row],[Fund]],5)</f>
        <v>108-7</v>
      </c>
    </row>
    <row r="622" ht="15" customHeight="1" spans="1:5" x14ac:dyDescent="0.25">
      <c r="A622">
        <v>1</v>
      </c>
      <c r="B622" t="str">
        <f>LEFT(Table_clallam_Oversight_ActiveFunds[[#This Row],[Agency]],3)</f>
        <v>405</v>
      </c>
      <c r="C622" t="s">
        <v>1478</v>
      </c>
      <c r="D622" t="s">
        <v>1141</v>
      </c>
      <c r="E622" t="str">
        <f>LEFT(Table_clallam_Oversight_ActiveFunds[[#This Row],[Fund]],5)</f>
        <v>109-1</v>
      </c>
    </row>
    <row r="623" ht="15" customHeight="1" spans="1:5" x14ac:dyDescent="0.25">
      <c r="A623">
        <v>1</v>
      </c>
      <c r="B623" t="str">
        <f>LEFT(Table_clallam_Oversight_ActiveFunds[[#This Row],[Agency]],3)</f>
        <v>405</v>
      </c>
      <c r="C623" t="s">
        <v>1478</v>
      </c>
      <c r="D623" t="s">
        <v>1143</v>
      </c>
      <c r="E623" t="str">
        <f>LEFT(Table_clallam_Oversight_ActiveFunds[[#This Row],[Fund]],5)</f>
        <v>109-2</v>
      </c>
    </row>
    <row r="624" ht="15" customHeight="1" spans="1:5" x14ac:dyDescent="0.25">
      <c r="A624">
        <v>1</v>
      </c>
      <c r="B624" t="str">
        <f>LEFT(Table_clallam_Oversight_ActiveFunds[[#This Row],[Agency]],3)</f>
        <v>405</v>
      </c>
      <c r="C624" t="s">
        <v>1478</v>
      </c>
      <c r="D624" t="s">
        <v>1145</v>
      </c>
      <c r="E624" t="str">
        <f>LEFT(Table_clallam_Oversight_ActiveFunds[[#This Row],[Fund]],5)</f>
        <v>109-7</v>
      </c>
    </row>
    <row r="625" ht="15" customHeight="1" spans="1:5" x14ac:dyDescent="0.25">
      <c r="A625">
        <v>1</v>
      </c>
      <c r="B625" t="str">
        <f>LEFT(Table_clallam_Oversight_ActiveFunds[[#This Row],[Agency]],3)</f>
        <v>405</v>
      </c>
      <c r="C625" t="s">
        <v>1478</v>
      </c>
      <c r="D625" t="s">
        <v>1164</v>
      </c>
      <c r="E625" t="str">
        <f>LEFT(Table_clallam_Oversight_ActiveFunds[[#This Row],[Fund]],5)</f>
        <v>11B-1</v>
      </c>
    </row>
    <row r="626" ht="15" customHeight="1" spans="1:5" x14ac:dyDescent="0.25">
      <c r="A626">
        <v>1</v>
      </c>
      <c r="B626" t="str">
        <f>LEFT(Table_clallam_Oversight_ActiveFunds[[#This Row],[Agency]],3)</f>
        <v>405</v>
      </c>
      <c r="C626" t="s">
        <v>1478</v>
      </c>
      <c r="D626" t="s">
        <v>1210</v>
      </c>
      <c r="E626" t="str">
        <f>LEFT(Table_clallam_Oversight_ActiveFunds[[#This Row],[Fund]],5)</f>
        <v>153-1</v>
      </c>
    </row>
    <row r="627" ht="15" customHeight="1" spans="1:5" x14ac:dyDescent="0.25">
      <c r="A627">
        <v>1</v>
      </c>
      <c r="B627" t="str">
        <f>LEFT(Table_clallam_Oversight_ActiveFunds[[#This Row],[Agency]],3)</f>
        <v>405</v>
      </c>
      <c r="C627" t="s">
        <v>1478</v>
      </c>
      <c r="D627" t="s">
        <v>1235</v>
      </c>
      <c r="E627" t="str">
        <f>LEFT(Table_clallam_Oversight_ActiveFunds[[#This Row],[Fund]],5)</f>
        <v>16J-1</v>
      </c>
    </row>
    <row r="628" ht="15" customHeight="1" spans="1:5" x14ac:dyDescent="0.25">
      <c r="A628">
        <v>1</v>
      </c>
      <c r="B628" t="str">
        <f>LEFT(Table_clallam_Oversight_ActiveFunds[[#This Row],[Agency]],3)</f>
        <v>405</v>
      </c>
      <c r="C628" t="s">
        <v>1478</v>
      </c>
      <c r="D628" t="s">
        <v>1262</v>
      </c>
      <c r="E628" t="str">
        <f>LEFT(Table_clallam_Oversight_ActiveFunds[[#This Row],[Fund]],5)</f>
        <v>17P-1</v>
      </c>
    </row>
    <row r="629" ht="15" customHeight="1" spans="1:5" x14ac:dyDescent="0.25">
      <c r="A629">
        <v>1</v>
      </c>
      <c r="B629" t="str">
        <f>LEFT(Table_clallam_Oversight_ActiveFunds[[#This Row],[Agency]],3)</f>
        <v>405</v>
      </c>
      <c r="C629" t="s">
        <v>1478</v>
      </c>
      <c r="D629" t="s">
        <v>1277</v>
      </c>
      <c r="E629" t="str">
        <f>LEFT(Table_clallam_Oversight_ActiveFunds[[#This Row],[Fund]],5)</f>
        <v>18J-1</v>
      </c>
    </row>
    <row r="630" ht="15" customHeight="1" spans="1:5" x14ac:dyDescent="0.25">
      <c r="A630">
        <v>1</v>
      </c>
      <c r="B630" t="str">
        <f>LEFT(Table_clallam_Oversight_ActiveFunds[[#This Row],[Agency]],3)</f>
        <v>405</v>
      </c>
      <c r="C630" t="s">
        <v>1478</v>
      </c>
      <c r="D630" t="s">
        <v>1321</v>
      </c>
      <c r="E630" t="str">
        <f>LEFT(Table_clallam_Oversight_ActiveFunds[[#This Row],[Fund]],5)</f>
        <v>20H-1</v>
      </c>
    </row>
    <row r="631" ht="15" customHeight="1" spans="1:5" x14ac:dyDescent="0.25">
      <c r="A631">
        <v>1</v>
      </c>
      <c r="B631" t="str">
        <f>LEFT(Table_clallam_Oversight_ActiveFunds[[#This Row],[Agency]],3)</f>
        <v>405</v>
      </c>
      <c r="C631" t="s">
        <v>1478</v>
      </c>
      <c r="D631" t="s">
        <v>1322</v>
      </c>
      <c r="E631" t="str">
        <f>LEFT(Table_clallam_Oversight_ActiveFunds[[#This Row],[Fund]],5)</f>
        <v>20H-T</v>
      </c>
    </row>
    <row r="632" ht="15" customHeight="1" spans="1:5" x14ac:dyDescent="0.25">
      <c r="A632">
        <v>1</v>
      </c>
      <c r="B632" t="str">
        <f>LEFT(Table_clallam_Oversight_ActiveFunds[[#This Row],[Agency]],3)</f>
        <v>405</v>
      </c>
      <c r="C632" t="s">
        <v>1478</v>
      </c>
      <c r="D632" t="s">
        <v>1323</v>
      </c>
      <c r="E632" t="str">
        <f>LEFT(Table_clallam_Oversight_ActiveFunds[[#This Row],[Fund]],5)</f>
        <v>20J-1</v>
      </c>
    </row>
    <row r="633" ht="15" customHeight="1" spans="1:5" x14ac:dyDescent="0.25">
      <c r="A633">
        <v>1</v>
      </c>
      <c r="B633" t="str">
        <f>LEFT(Table_clallam_Oversight_ActiveFunds[[#This Row],[Agency]],3)</f>
        <v>405</v>
      </c>
      <c r="C633" t="s">
        <v>1478</v>
      </c>
      <c r="D633" t="s">
        <v>1332</v>
      </c>
      <c r="E633" t="str">
        <f>LEFT(Table_clallam_Oversight_ActiveFunds[[#This Row],[Fund]],5)</f>
        <v>215-1</v>
      </c>
    </row>
    <row r="634" ht="15" customHeight="1" spans="1:5" x14ac:dyDescent="0.25">
      <c r="A634">
        <v>1</v>
      </c>
      <c r="B634" t="str">
        <f>LEFT(Table_clallam_Oversight_ActiveFunds[[#This Row],[Agency]],3)</f>
        <v>405</v>
      </c>
      <c r="C634" t="s">
        <v>1478</v>
      </c>
      <c r="D634" t="s">
        <v>1334</v>
      </c>
      <c r="E634" t="str">
        <f>LEFT(Table_clallam_Oversight_ActiveFunds[[#This Row],[Fund]],5)</f>
        <v>215-T</v>
      </c>
    </row>
    <row r="635" ht="15" customHeight="1" spans="1:5" x14ac:dyDescent="0.25">
      <c r="A635">
        <v>1</v>
      </c>
      <c r="B635" t="str">
        <f>LEFT(Table_clallam_Oversight_ActiveFunds[[#This Row],[Agency]],3)</f>
        <v>405</v>
      </c>
      <c r="C635" t="s">
        <v>1478</v>
      </c>
      <c r="D635" t="s">
        <v>723</v>
      </c>
      <c r="E635" t="str">
        <f>LEFT(Table_clallam_Oversight_ActiveFunds[[#This Row],[Fund]],5)</f>
        <v>218-1</v>
      </c>
    </row>
    <row r="636" ht="15" customHeight="1" spans="1:5" x14ac:dyDescent="0.25">
      <c r="A636">
        <v>1</v>
      </c>
      <c r="B636" t="str">
        <f>LEFT(Table_clallam_Oversight_ActiveFunds[[#This Row],[Agency]],3)</f>
        <v>405</v>
      </c>
      <c r="C636" t="s">
        <v>1478</v>
      </c>
      <c r="D636" t="s">
        <v>1167</v>
      </c>
      <c r="E636" t="str">
        <f>LEFT(Table_clallam_Oversight_ActiveFunds[[#This Row],[Fund]],5)</f>
        <v>218-2</v>
      </c>
    </row>
    <row r="637" ht="15" customHeight="1" spans="1:5" x14ac:dyDescent="0.25">
      <c r="A637">
        <v>1</v>
      </c>
      <c r="B637" t="str">
        <f>LEFT(Table_clallam_Oversight_ActiveFunds[[#This Row],[Agency]],3)</f>
        <v>405</v>
      </c>
      <c r="C637" t="s">
        <v>1478</v>
      </c>
      <c r="D637" t="s">
        <v>1337</v>
      </c>
      <c r="E637" t="str">
        <f>LEFT(Table_clallam_Oversight_ActiveFunds[[#This Row],[Fund]],5)</f>
        <v>218-7</v>
      </c>
    </row>
    <row r="638" ht="15" customHeight="1" spans="1:5" x14ac:dyDescent="0.25">
      <c r="A638">
        <v>1</v>
      </c>
      <c r="B638" t="str">
        <f>LEFT(Table_clallam_Oversight_ActiveFunds[[#This Row],[Agency]],3)</f>
        <v>405</v>
      </c>
      <c r="C638" t="s">
        <v>1478</v>
      </c>
      <c r="D638" t="s">
        <v>1339</v>
      </c>
      <c r="E638" t="str">
        <f>LEFT(Table_clallam_Oversight_ActiveFunds[[#This Row],[Fund]],5)</f>
        <v>218-8</v>
      </c>
    </row>
    <row r="639" ht="15" customHeight="1" spans="1:5" x14ac:dyDescent="0.25">
      <c r="A639">
        <v>1</v>
      </c>
      <c r="B639" t="str">
        <f>LEFT(Table_clallam_Oversight_ActiveFunds[[#This Row],[Agency]],3)</f>
        <v>405</v>
      </c>
      <c r="C639" t="s">
        <v>1478</v>
      </c>
      <c r="D639" t="s">
        <v>1368</v>
      </c>
      <c r="E639" t="str">
        <f>LEFT(Table_clallam_Oversight_ActiveFunds[[#This Row],[Fund]],5)</f>
        <v>23S-1</v>
      </c>
    </row>
    <row r="640" ht="15" customHeight="1" spans="1:5" x14ac:dyDescent="0.25">
      <c r="A640">
        <v>1</v>
      </c>
      <c r="B640" t="str">
        <f>LEFT(Table_clallam_Oversight_ActiveFunds[[#This Row],[Agency]],3)</f>
        <v>405</v>
      </c>
      <c r="C640" t="s">
        <v>1478</v>
      </c>
      <c r="D640" t="s">
        <v>1377</v>
      </c>
      <c r="E640" t="str">
        <f>LEFT(Table_clallam_Oversight_ActiveFunds[[#This Row],[Fund]],5)</f>
        <v>24K-1</v>
      </c>
    </row>
    <row r="641" ht="15" customHeight="1" spans="1:5" x14ac:dyDescent="0.25">
      <c r="A641">
        <v>1</v>
      </c>
      <c r="B641" t="str">
        <f>LEFT(Table_clallam_Oversight_ActiveFunds[[#This Row],[Agency]],3)</f>
        <v>405</v>
      </c>
      <c r="C641" t="s">
        <v>1478</v>
      </c>
      <c r="D641" t="s">
        <v>1399</v>
      </c>
      <c r="E641" t="str">
        <f>LEFT(Table_clallam_Oversight_ActiveFunds[[#This Row],[Fund]],5)</f>
        <v>26A-1</v>
      </c>
    </row>
    <row r="642" ht="15" customHeight="1" spans="1:5" x14ac:dyDescent="0.25">
      <c r="A642">
        <v>1</v>
      </c>
      <c r="B642" t="str">
        <f>LEFT(Table_clallam_Oversight_ActiveFunds[[#This Row],[Agency]],3)</f>
        <v>405</v>
      </c>
      <c r="C642" t="s">
        <v>1478</v>
      </c>
      <c r="D642" t="s">
        <v>1405</v>
      </c>
      <c r="E642" t="str">
        <f>LEFT(Table_clallam_Oversight_ActiveFunds[[#This Row],[Fund]],5)</f>
        <v>26M-1</v>
      </c>
    </row>
    <row r="643" ht="15" customHeight="1" spans="1:5" x14ac:dyDescent="0.25">
      <c r="A643">
        <v>1</v>
      </c>
      <c r="B643" t="str">
        <f>LEFT(Table_clallam_Oversight_ActiveFunds[[#This Row],[Agency]],3)</f>
        <v>405</v>
      </c>
      <c r="C643" t="s">
        <v>1478</v>
      </c>
      <c r="D643" t="s">
        <v>1407</v>
      </c>
      <c r="E643" t="str">
        <f>LEFT(Table_clallam_Oversight_ActiveFunds[[#This Row],[Fund]],5)</f>
        <v>26N-1</v>
      </c>
    </row>
    <row r="644" ht="15" customHeight="1" spans="1:5" x14ac:dyDescent="0.25">
      <c r="A644">
        <v>1</v>
      </c>
      <c r="B644" t="str">
        <f>LEFT(Table_clallam_Oversight_ActiveFunds[[#This Row],[Agency]],3)</f>
        <v>405</v>
      </c>
      <c r="C644" t="s">
        <v>1478</v>
      </c>
      <c r="D644" t="s">
        <v>1409</v>
      </c>
      <c r="E644" t="str">
        <f>LEFT(Table_clallam_Oversight_ActiveFunds[[#This Row],[Fund]],5)</f>
        <v>26P-1</v>
      </c>
    </row>
    <row r="645" ht="15" customHeight="1" spans="1:5" x14ac:dyDescent="0.25">
      <c r="A645">
        <v>1</v>
      </c>
      <c r="B645" t="str">
        <f>LEFT(Table_clallam_Oversight_ActiveFunds[[#This Row],[Agency]],3)</f>
        <v>405</v>
      </c>
      <c r="C645" t="s">
        <v>1478</v>
      </c>
      <c r="D645" t="s">
        <v>1410</v>
      </c>
      <c r="E645" t="str">
        <f>LEFT(Table_clallam_Oversight_ActiveFunds[[#This Row],[Fund]],5)</f>
        <v>26P-2</v>
      </c>
    </row>
    <row r="646" ht="15" customHeight="1" spans="1:5" x14ac:dyDescent="0.25">
      <c r="A646">
        <v>1</v>
      </c>
      <c r="B646" t="str">
        <f>LEFT(Table_clallam_Oversight_ActiveFunds[[#This Row],[Agency]],3)</f>
        <v>405</v>
      </c>
      <c r="C646" t="s">
        <v>1478</v>
      </c>
      <c r="D646" t="s">
        <v>1169</v>
      </c>
      <c r="E646" t="str">
        <f>LEFT(Table_clallam_Oversight_ActiveFunds[[#This Row],[Fund]],5)</f>
        <v>26Q-1</v>
      </c>
    </row>
    <row r="647" ht="15" customHeight="1" spans="1:5" x14ac:dyDescent="0.25">
      <c r="A647">
        <v>1</v>
      </c>
      <c r="B647" t="str">
        <f>LEFT(Table_clallam_Oversight_ActiveFunds[[#This Row],[Agency]],3)</f>
        <v>405</v>
      </c>
      <c r="C647" t="s">
        <v>1478</v>
      </c>
      <c r="D647" t="s">
        <v>1411</v>
      </c>
      <c r="E647" t="str">
        <f>LEFT(Table_clallam_Oversight_ActiveFunds[[#This Row],[Fund]],5)</f>
        <v>26Q-2</v>
      </c>
    </row>
    <row r="648" ht="15" customHeight="1" spans="1:5" x14ac:dyDescent="0.25">
      <c r="A648">
        <v>1</v>
      </c>
      <c r="B648" t="str">
        <f>LEFT(Table_clallam_Oversight_ActiveFunds[[#This Row],[Agency]],3)</f>
        <v>405</v>
      </c>
      <c r="C648" t="s">
        <v>1478</v>
      </c>
      <c r="D648" t="s">
        <v>1421</v>
      </c>
      <c r="E648" t="str">
        <f>LEFT(Table_clallam_Oversight_ActiveFunds[[#This Row],[Fund]],5)</f>
        <v>410-6</v>
      </c>
    </row>
    <row r="649" ht="15" customHeight="1" spans="1:5" x14ac:dyDescent="0.25">
      <c r="A649">
        <v>1</v>
      </c>
      <c r="B649" t="str">
        <f>LEFT(Table_clallam_Oversight_ActiveFunds[[#This Row],[Agency]],3)</f>
        <v>405</v>
      </c>
      <c r="C649" t="s">
        <v>1478</v>
      </c>
      <c r="D649" t="s">
        <v>1371</v>
      </c>
      <c r="E649" t="str">
        <f>LEFT(Table_clallam_Oversight_ActiveFunds[[#This Row],[Fund]],5)</f>
        <v>511-1</v>
      </c>
    </row>
    <row r="650" ht="15" customHeight="1" spans="1:5" x14ac:dyDescent="0.25">
      <c r="A650">
        <v>1</v>
      </c>
      <c r="B650" t="str">
        <f>LEFT(Table_clallam_Oversight_ActiveFunds[[#This Row],[Agency]],3)</f>
        <v>405</v>
      </c>
      <c r="C650" t="s">
        <v>1478</v>
      </c>
      <c r="D650" t="s">
        <v>1439</v>
      </c>
      <c r="E650" t="str">
        <f>LEFT(Table_clallam_Oversight_ActiveFunds[[#This Row],[Fund]],5)</f>
        <v>535-1</v>
      </c>
    </row>
    <row r="651" ht="15" customHeight="1" spans="1:5" x14ac:dyDescent="0.25">
      <c r="A651">
        <v>1</v>
      </c>
      <c r="B651" t="str">
        <f>LEFT(Table_clallam_Oversight_ActiveFunds[[#This Row],[Agency]],3)</f>
        <v>405</v>
      </c>
      <c r="C651" t="s">
        <v>1478</v>
      </c>
      <c r="D651" t="s">
        <v>1444</v>
      </c>
      <c r="E651" t="str">
        <f>LEFT(Table_clallam_Oversight_ActiveFunds[[#This Row],[Fund]],5)</f>
        <v>550-1</v>
      </c>
    </row>
    <row r="652" ht="15" customHeight="1" spans="1:5" x14ac:dyDescent="0.25">
      <c r="A652">
        <v>1</v>
      </c>
      <c r="B652" t="str">
        <f>LEFT(Table_clallam_Oversight_ActiveFunds[[#This Row],[Agency]],3)</f>
        <v>405</v>
      </c>
      <c r="C652" t="s">
        <v>1478</v>
      </c>
      <c r="D652" t="s">
        <v>1448</v>
      </c>
      <c r="E652" t="str">
        <f>LEFT(Table_clallam_Oversight_ActiveFunds[[#This Row],[Fund]],5)</f>
        <v>571-1</v>
      </c>
    </row>
    <row r="653" ht="15" customHeight="1" spans="1:5" x14ac:dyDescent="0.25">
      <c r="A653">
        <v>1</v>
      </c>
      <c r="B653" t="str">
        <f>LEFT(Table_clallam_Oversight_ActiveFunds[[#This Row],[Agency]],3)</f>
        <v>405</v>
      </c>
      <c r="C653" t="s">
        <v>1478</v>
      </c>
      <c r="D653" t="s">
        <v>1373</v>
      </c>
      <c r="E653" t="str">
        <f>LEFT(Table_clallam_Oversight_ActiveFunds[[#This Row],[Fund]],5)</f>
        <v>595-1</v>
      </c>
    </row>
    <row r="654" ht="15" customHeight="1" spans="1:5" x14ac:dyDescent="0.25">
      <c r="A654">
        <v>1</v>
      </c>
      <c r="B654" t="str">
        <f>LEFT(Table_clallam_Oversight_ActiveFunds[[#This Row],[Agency]],3)</f>
        <v>405</v>
      </c>
      <c r="C654" t="s">
        <v>1478</v>
      </c>
      <c r="D654" t="s">
        <v>971</v>
      </c>
      <c r="E654" t="str">
        <f>LEFT(Table_clallam_Oversight_ActiveFunds[[#This Row],[Fund]],5)</f>
        <v>706-2</v>
      </c>
    </row>
    <row r="655" ht="15" customHeight="1" spans="1:5" x14ac:dyDescent="0.25">
      <c r="A655">
        <v>1</v>
      </c>
      <c r="B655" t="str">
        <f>LEFT(Table_clallam_Oversight_ActiveFunds[[#This Row],[Agency]],3)</f>
        <v>406</v>
      </c>
      <c r="C655" t="s">
        <v>1479</v>
      </c>
      <c r="D655" t="s">
        <v>1127</v>
      </c>
      <c r="E655" t="str">
        <f>LEFT(Table_clallam_Oversight_ActiveFunds[[#This Row],[Fund]],5)</f>
        <v>102-1</v>
      </c>
    </row>
    <row r="656" ht="15" customHeight="1" spans="1:5" x14ac:dyDescent="0.25">
      <c r="A656">
        <v>1</v>
      </c>
      <c r="B656" t="str">
        <f>LEFT(Table_clallam_Oversight_ActiveFunds[[#This Row],[Agency]],3)</f>
        <v>406</v>
      </c>
      <c r="C656" t="s">
        <v>1479</v>
      </c>
      <c r="D656" t="s">
        <v>699</v>
      </c>
      <c r="E656" t="str">
        <f>LEFT(Table_clallam_Oversight_ActiveFunds[[#This Row],[Fund]],5)</f>
        <v>108-1</v>
      </c>
    </row>
    <row r="657" ht="15" customHeight="1" spans="1:5" x14ac:dyDescent="0.25">
      <c r="A657">
        <v>1</v>
      </c>
      <c r="B657" t="str">
        <f>LEFT(Table_clallam_Oversight_ActiveFunds[[#This Row],[Agency]],3)</f>
        <v>406</v>
      </c>
      <c r="C657" t="s">
        <v>1479</v>
      </c>
      <c r="D657" t="s">
        <v>1273</v>
      </c>
      <c r="E657" t="str">
        <f>LEFT(Table_clallam_Oversight_ActiveFunds[[#This Row],[Fund]],5)</f>
        <v>186-1</v>
      </c>
    </row>
    <row r="658" ht="15" customHeight="1" spans="1:5" x14ac:dyDescent="0.25">
      <c r="A658">
        <v>1</v>
      </c>
      <c r="B658" t="str">
        <f>LEFT(Table_clallam_Oversight_ActiveFunds[[#This Row],[Agency]],3)</f>
        <v>406</v>
      </c>
      <c r="C658" t="s">
        <v>1479</v>
      </c>
      <c r="D658" t="s">
        <v>1366</v>
      </c>
      <c r="E658" t="str">
        <f>LEFT(Table_clallam_Oversight_ActiveFunds[[#This Row],[Fund]],5)</f>
        <v>23M-6</v>
      </c>
    </row>
    <row r="659" ht="15" customHeight="1" spans="1:5" x14ac:dyDescent="0.25">
      <c r="A659">
        <v>1</v>
      </c>
      <c r="B659" t="str">
        <f>LEFT(Table_clallam_Oversight_ActiveFunds[[#This Row],[Agency]],3)</f>
        <v>406</v>
      </c>
      <c r="C659" t="s">
        <v>1479</v>
      </c>
      <c r="D659" t="s">
        <v>1409</v>
      </c>
      <c r="E659" t="str">
        <f>LEFT(Table_clallam_Oversight_ActiveFunds[[#This Row],[Fund]],5)</f>
        <v>26P-1</v>
      </c>
    </row>
    <row r="660" ht="15" customHeight="1" spans="1:5" x14ac:dyDescent="0.25">
      <c r="A660">
        <v>1</v>
      </c>
      <c r="B660" t="str">
        <f>LEFT(Table_clallam_Oversight_ActiveFunds[[#This Row],[Agency]],3)</f>
        <v>407</v>
      </c>
      <c r="C660" t="s">
        <v>1480</v>
      </c>
      <c r="D660" t="s">
        <v>1098</v>
      </c>
      <c r="E660" t="str">
        <f>LEFT(Table_clallam_Oversight_ActiveFunds[[#This Row],[Fund]],5)</f>
        <v>08M-1</v>
      </c>
    </row>
    <row r="661" ht="15" customHeight="1" spans="1:5" x14ac:dyDescent="0.25">
      <c r="A661">
        <v>1</v>
      </c>
      <c r="B661" t="str">
        <f>LEFT(Table_clallam_Oversight_ActiveFunds[[#This Row],[Agency]],3)</f>
        <v>407</v>
      </c>
      <c r="C661" t="s">
        <v>1480</v>
      </c>
      <c r="D661" t="s">
        <v>1198</v>
      </c>
      <c r="E661" t="str">
        <f>LEFT(Table_clallam_Oversight_ActiveFunds[[#This Row],[Fund]],5)</f>
        <v>144-1</v>
      </c>
    </row>
    <row r="662" ht="15" customHeight="1" spans="1:5" x14ac:dyDescent="0.25">
      <c r="A662">
        <v>1</v>
      </c>
      <c r="B662" t="str">
        <f>LEFT(Table_clallam_Oversight_ActiveFunds[[#This Row],[Agency]],3)</f>
        <v>407</v>
      </c>
      <c r="C662" t="s">
        <v>1480</v>
      </c>
      <c r="D662" t="s">
        <v>1260</v>
      </c>
      <c r="E662" t="str">
        <f>LEFT(Table_clallam_Oversight_ActiveFunds[[#This Row],[Fund]],5)</f>
        <v>17N-1</v>
      </c>
    </row>
    <row r="663" ht="15" customHeight="1" spans="1:5" x14ac:dyDescent="0.25">
      <c r="A663">
        <v>1</v>
      </c>
      <c r="B663" t="str">
        <f>LEFT(Table_clallam_Oversight_ActiveFunds[[#This Row],[Agency]],3)</f>
        <v>407</v>
      </c>
      <c r="C663" t="s">
        <v>1480</v>
      </c>
      <c r="D663" t="s">
        <v>1405</v>
      </c>
      <c r="E663" t="str">
        <f>LEFT(Table_clallam_Oversight_ActiveFunds[[#This Row],[Fund]],5)</f>
        <v>26M-1</v>
      </c>
    </row>
    <row r="664" ht="15" customHeight="1" spans="1:5" x14ac:dyDescent="0.25">
      <c r="A664">
        <v>1</v>
      </c>
      <c r="B664" t="str">
        <f>LEFT(Table_clallam_Oversight_ActiveFunds[[#This Row],[Agency]],3)</f>
        <v>407</v>
      </c>
      <c r="C664" t="s">
        <v>1480</v>
      </c>
      <c r="D664" t="s">
        <v>1409</v>
      </c>
      <c r="E664" t="str">
        <f>LEFT(Table_clallam_Oversight_ActiveFunds[[#This Row],[Fund]],5)</f>
        <v>26P-1</v>
      </c>
    </row>
    <row r="665" ht="15" customHeight="1" spans="1:5" x14ac:dyDescent="0.25">
      <c r="A665">
        <v>1</v>
      </c>
      <c r="B665" t="str">
        <f>LEFT(Table_clallam_Oversight_ActiveFunds[[#This Row],[Agency]],3)</f>
        <v>410</v>
      </c>
      <c r="C665" t="s">
        <v>1481</v>
      </c>
      <c r="D665" t="s">
        <v>699</v>
      </c>
      <c r="E665" t="str">
        <f>LEFT(Table_clallam_Oversight_ActiveFunds[[#This Row],[Fund]],5)</f>
        <v>108-1</v>
      </c>
    </row>
    <row r="666" ht="15" customHeight="1" spans="1:5" x14ac:dyDescent="0.25">
      <c r="A666">
        <v>1</v>
      </c>
      <c r="B666" t="str">
        <f>LEFT(Table_clallam_Oversight_ActiveFunds[[#This Row],[Agency]],3)</f>
        <v>410</v>
      </c>
      <c r="C666" t="s">
        <v>1481</v>
      </c>
      <c r="D666" t="s">
        <v>1235</v>
      </c>
      <c r="E666" t="str">
        <f>LEFT(Table_clallam_Oversight_ActiveFunds[[#This Row],[Fund]],5)</f>
        <v>16J-1</v>
      </c>
    </row>
    <row r="667" ht="15" customHeight="1" spans="1:5" x14ac:dyDescent="0.25">
      <c r="A667">
        <v>1</v>
      </c>
      <c r="B667" t="str">
        <f>LEFT(Table_clallam_Oversight_ActiveFunds[[#This Row],[Agency]],3)</f>
        <v>410</v>
      </c>
      <c r="C667" t="s">
        <v>1481</v>
      </c>
      <c r="D667" t="s">
        <v>1371</v>
      </c>
      <c r="E667" t="str">
        <f>LEFT(Table_clallam_Oversight_ActiveFunds[[#This Row],[Fund]],5)</f>
        <v>511-1</v>
      </c>
    </row>
    <row r="668" ht="15" customHeight="1" spans="1:5" x14ac:dyDescent="0.25">
      <c r="A668">
        <v>1</v>
      </c>
      <c r="B668" t="str">
        <f>LEFT(Table_clallam_Oversight_ActiveFunds[[#This Row],[Agency]],3)</f>
        <v>410</v>
      </c>
      <c r="C668" t="s">
        <v>1481</v>
      </c>
      <c r="D668" t="s">
        <v>1439</v>
      </c>
      <c r="E668" t="str">
        <f>LEFT(Table_clallam_Oversight_ActiveFunds[[#This Row],[Fund]],5)</f>
        <v>535-1</v>
      </c>
    </row>
    <row r="669" ht="15" customHeight="1" spans="1:5" x14ac:dyDescent="0.25">
      <c r="A669">
        <v>1</v>
      </c>
      <c r="B669" t="str">
        <f>LEFT(Table_clallam_Oversight_ActiveFunds[[#This Row],[Agency]],3)</f>
        <v>410</v>
      </c>
      <c r="C669" t="s">
        <v>1481</v>
      </c>
      <c r="D669" t="s">
        <v>1373</v>
      </c>
      <c r="E669" t="str">
        <f>LEFT(Table_clallam_Oversight_ActiveFunds[[#This Row],[Fund]],5)</f>
        <v>595-1</v>
      </c>
    </row>
    <row r="670" ht="15" customHeight="1" spans="1:5" x14ac:dyDescent="0.25">
      <c r="A670">
        <v>1</v>
      </c>
      <c r="B670" t="str">
        <f>LEFT(Table_clallam_Oversight_ActiveFunds[[#This Row],[Agency]],3)</f>
        <v>411</v>
      </c>
      <c r="C670" t="s">
        <v>1482</v>
      </c>
      <c r="D670" t="s">
        <v>1121</v>
      </c>
      <c r="E670" t="str">
        <f>LEFT(Table_clallam_Oversight_ActiveFunds[[#This Row],[Fund]],5)</f>
        <v>09E-1</v>
      </c>
    </row>
    <row r="671" ht="15" customHeight="1" spans="1:5" x14ac:dyDescent="0.25">
      <c r="A671">
        <v>1</v>
      </c>
      <c r="B671" t="str">
        <f>LEFT(Table_clallam_Oversight_ActiveFunds[[#This Row],[Agency]],3)</f>
        <v>411</v>
      </c>
      <c r="C671" t="s">
        <v>1482</v>
      </c>
      <c r="D671" t="s">
        <v>1166</v>
      </c>
      <c r="E671" t="str">
        <f>LEFT(Table_clallam_Oversight_ActiveFunds[[#This Row],[Fund]],5)</f>
        <v>11E-1</v>
      </c>
    </row>
    <row r="672" ht="15" customHeight="1" spans="1:5" x14ac:dyDescent="0.25">
      <c r="A672">
        <v>1</v>
      </c>
      <c r="B672" t="str">
        <f>LEFT(Table_clallam_Oversight_ActiveFunds[[#This Row],[Agency]],3)</f>
        <v>460</v>
      </c>
      <c r="C672" t="s">
        <v>1483</v>
      </c>
      <c r="D672" t="s">
        <v>28</v>
      </c>
      <c r="E672" t="str">
        <f>LEFT(Table_clallam_Oversight_ActiveFunds[[#This Row],[Fund]],5)</f>
        <v>001-1</v>
      </c>
    </row>
    <row r="673" ht="15" customHeight="1" spans="1:5" x14ac:dyDescent="0.25">
      <c r="A673">
        <v>1</v>
      </c>
      <c r="B673" t="str">
        <f>LEFT(Table_clallam_Oversight_ActiveFunds[[#This Row],[Agency]],3)</f>
        <v>460</v>
      </c>
      <c r="C673" t="s">
        <v>1483</v>
      </c>
      <c r="D673" t="s">
        <v>144</v>
      </c>
      <c r="E673" t="str">
        <f>LEFT(Table_clallam_Oversight_ActiveFunds[[#This Row],[Fund]],5)</f>
        <v>001-2</v>
      </c>
    </row>
    <row r="674" ht="15" customHeight="1" spans="1:5" x14ac:dyDescent="0.25">
      <c r="A674">
        <v>1</v>
      </c>
      <c r="B674" t="str">
        <f>LEFT(Table_clallam_Oversight_ActiveFunds[[#This Row],[Agency]],3)</f>
        <v>460</v>
      </c>
      <c r="C674" t="s">
        <v>1483</v>
      </c>
      <c r="D674" t="s">
        <v>712</v>
      </c>
      <c r="E674" t="str">
        <f>LEFT(Table_clallam_Oversight_ActiveFunds[[#This Row],[Fund]],5)</f>
        <v>001-7</v>
      </c>
    </row>
    <row r="675" ht="15" customHeight="1" spans="1:5" x14ac:dyDescent="0.25">
      <c r="A675">
        <v>1</v>
      </c>
      <c r="B675" t="str">
        <f>LEFT(Table_clallam_Oversight_ActiveFunds[[#This Row],[Agency]],3)</f>
        <v>461</v>
      </c>
      <c r="C675" t="s">
        <v>1484</v>
      </c>
      <c r="D675" t="s">
        <v>28</v>
      </c>
      <c r="E675" t="str">
        <f>LEFT(Table_clallam_Oversight_ActiveFunds[[#This Row],[Fund]],5)</f>
        <v>001-1</v>
      </c>
    </row>
    <row r="676" ht="15" customHeight="1" spans="1:5" x14ac:dyDescent="0.25">
      <c r="A676">
        <v>1</v>
      </c>
      <c r="B676" t="str">
        <f>LEFT(Table_clallam_Oversight_ActiveFunds[[#This Row],[Agency]],3)</f>
        <v>461</v>
      </c>
      <c r="C676" t="s">
        <v>1484</v>
      </c>
      <c r="D676" t="s">
        <v>144</v>
      </c>
      <c r="E676" t="str">
        <f>LEFT(Table_clallam_Oversight_ActiveFunds[[#This Row],[Fund]],5)</f>
        <v>001-2</v>
      </c>
    </row>
    <row r="677" ht="15" customHeight="1" spans="1:5" x14ac:dyDescent="0.25">
      <c r="A677">
        <v>1</v>
      </c>
      <c r="B677" t="str">
        <f>LEFT(Table_clallam_Oversight_ActiveFunds[[#This Row],[Agency]],3)</f>
        <v>461</v>
      </c>
      <c r="C677" t="s">
        <v>1484</v>
      </c>
      <c r="D677" t="s">
        <v>712</v>
      </c>
      <c r="E677" t="str">
        <f>LEFT(Table_clallam_Oversight_ActiveFunds[[#This Row],[Fund]],5)</f>
        <v>001-7</v>
      </c>
    </row>
    <row r="678" ht="15" customHeight="1" spans="1:5" x14ac:dyDescent="0.25">
      <c r="A678">
        <v>1</v>
      </c>
      <c r="B678" t="str">
        <f>LEFT(Table_clallam_Oversight_ActiveFunds[[#This Row],[Agency]],3)</f>
        <v>461</v>
      </c>
      <c r="C678" t="s">
        <v>1484</v>
      </c>
      <c r="D678" t="s">
        <v>821</v>
      </c>
      <c r="E678" t="str">
        <f>LEFT(Table_clallam_Oversight_ActiveFunds[[#This Row],[Fund]],5)</f>
        <v>027-1</v>
      </c>
    </row>
    <row r="679" ht="15" customHeight="1" spans="1:5" x14ac:dyDescent="0.25">
      <c r="A679">
        <v>1</v>
      </c>
      <c r="B679" t="str">
        <f>LEFT(Table_clallam_Oversight_ActiveFunds[[#This Row],[Agency]],3)</f>
        <v>461</v>
      </c>
      <c r="C679" t="s">
        <v>1484</v>
      </c>
      <c r="D679" t="s">
        <v>850</v>
      </c>
      <c r="E679" t="str">
        <f>LEFT(Table_clallam_Oversight_ActiveFunds[[#This Row],[Fund]],5)</f>
        <v>02P-1</v>
      </c>
    </row>
    <row r="680" ht="15" customHeight="1" spans="1:5" x14ac:dyDescent="0.25">
      <c r="A680">
        <v>1</v>
      </c>
      <c r="B680" t="str">
        <f>LEFT(Table_clallam_Oversight_ActiveFunds[[#This Row],[Agency]],3)</f>
        <v>461</v>
      </c>
      <c r="C680" t="s">
        <v>1484</v>
      </c>
      <c r="D680" t="s">
        <v>855</v>
      </c>
      <c r="E680" t="str">
        <f>LEFT(Table_clallam_Oversight_ActiveFunds[[#This Row],[Fund]],5)</f>
        <v>02R-1</v>
      </c>
    </row>
    <row r="681" ht="15" customHeight="1" spans="1:5" x14ac:dyDescent="0.25">
      <c r="A681">
        <v>1</v>
      </c>
      <c r="B681" t="str">
        <f>LEFT(Table_clallam_Oversight_ActiveFunds[[#This Row],[Agency]],3)</f>
        <v>461</v>
      </c>
      <c r="C681" t="s">
        <v>1484</v>
      </c>
      <c r="D681" t="s">
        <v>871</v>
      </c>
      <c r="E681" t="str">
        <f>LEFT(Table_clallam_Oversight_ActiveFunds[[#This Row],[Fund]],5)</f>
        <v>032-1</v>
      </c>
    </row>
    <row r="682" ht="15" customHeight="1" spans="1:5" x14ac:dyDescent="0.25">
      <c r="A682">
        <v>1</v>
      </c>
      <c r="B682" t="str">
        <f>LEFT(Table_clallam_Oversight_ActiveFunds[[#This Row],[Agency]],3)</f>
        <v>461</v>
      </c>
      <c r="C682" t="s">
        <v>1484</v>
      </c>
      <c r="D682" t="s">
        <v>935</v>
      </c>
      <c r="E682" t="str">
        <f>LEFT(Table_clallam_Oversight_ActiveFunds[[#This Row],[Fund]],5)</f>
        <v>044-1</v>
      </c>
    </row>
    <row r="683" ht="15" customHeight="1" spans="1:5" x14ac:dyDescent="0.25">
      <c r="A683">
        <v>1</v>
      </c>
      <c r="B683" t="str">
        <f>LEFT(Table_clallam_Oversight_ActiveFunds[[#This Row],[Agency]],3)</f>
        <v>461</v>
      </c>
      <c r="C683" t="s">
        <v>1484</v>
      </c>
      <c r="D683" t="s">
        <v>1007</v>
      </c>
      <c r="E683" t="str">
        <f>LEFT(Table_clallam_Oversight_ActiveFunds[[#This Row],[Fund]],5)</f>
        <v>05W-1</v>
      </c>
    </row>
    <row r="684" ht="15" customHeight="1" spans="1:5" x14ac:dyDescent="0.25">
      <c r="A684">
        <v>1</v>
      </c>
      <c r="B684" t="str">
        <f>LEFT(Table_clallam_Oversight_ActiveFunds[[#This Row],[Agency]],3)</f>
        <v>461</v>
      </c>
      <c r="C684" t="s">
        <v>1484</v>
      </c>
      <c r="D684" t="s">
        <v>1046</v>
      </c>
      <c r="E684" t="str">
        <f>LEFT(Table_clallam_Oversight_ActiveFunds[[#This Row],[Fund]],5)</f>
        <v>072-1</v>
      </c>
    </row>
    <row r="685" ht="15" customHeight="1" spans="1:5" x14ac:dyDescent="0.25">
      <c r="A685">
        <v>1</v>
      </c>
      <c r="B685" t="str">
        <f>LEFT(Table_clallam_Oversight_ActiveFunds[[#This Row],[Agency]],3)</f>
        <v>461</v>
      </c>
      <c r="C685" t="s">
        <v>1484</v>
      </c>
      <c r="D685" t="s">
        <v>1148</v>
      </c>
      <c r="E685" t="str">
        <f>LEFT(Table_clallam_Oversight_ActiveFunds[[#This Row],[Fund]],5)</f>
        <v>10G-1</v>
      </c>
    </row>
    <row r="686" ht="15" customHeight="1" spans="1:5" x14ac:dyDescent="0.25">
      <c r="A686">
        <v>1</v>
      </c>
      <c r="B686" t="str">
        <f>LEFT(Table_clallam_Oversight_ActiveFunds[[#This Row],[Agency]],3)</f>
        <v>461</v>
      </c>
      <c r="C686" t="s">
        <v>1484</v>
      </c>
      <c r="D686" t="s">
        <v>1158</v>
      </c>
      <c r="E686" t="str">
        <f>LEFT(Table_clallam_Oversight_ActiveFunds[[#This Row],[Fund]],5)</f>
        <v>116-6</v>
      </c>
    </row>
    <row r="687" ht="15" customHeight="1" spans="1:5" x14ac:dyDescent="0.25">
      <c r="A687">
        <v>1</v>
      </c>
      <c r="B687" t="str">
        <f>LEFT(Table_clallam_Oversight_ActiveFunds[[#This Row],[Agency]],3)</f>
        <v>461</v>
      </c>
      <c r="C687" t="s">
        <v>1484</v>
      </c>
      <c r="D687" t="s">
        <v>1170</v>
      </c>
      <c r="E687" t="str">
        <f>LEFT(Table_clallam_Oversight_ActiveFunds[[#This Row],[Fund]],5)</f>
        <v>11J-6</v>
      </c>
    </row>
    <row r="688" ht="15" customHeight="1" spans="1:5" x14ac:dyDescent="0.25">
      <c r="A688">
        <v>1</v>
      </c>
      <c r="B688" t="str">
        <f>LEFT(Table_clallam_Oversight_ActiveFunds[[#This Row],[Agency]],3)</f>
        <v>461</v>
      </c>
      <c r="C688" t="s">
        <v>1484</v>
      </c>
      <c r="D688" t="s">
        <v>1177</v>
      </c>
      <c r="E688" t="str">
        <f>LEFT(Table_clallam_Oversight_ActiveFunds[[#This Row],[Fund]],5)</f>
        <v>125-1</v>
      </c>
    </row>
    <row r="689" ht="15" customHeight="1" spans="1:5" x14ac:dyDescent="0.25">
      <c r="A689">
        <v>1</v>
      </c>
      <c r="B689" t="str">
        <f>LEFT(Table_clallam_Oversight_ActiveFunds[[#This Row],[Agency]],3)</f>
        <v>461</v>
      </c>
      <c r="C689" t="s">
        <v>1484</v>
      </c>
      <c r="D689" t="s">
        <v>1222</v>
      </c>
      <c r="E689" t="str">
        <f>LEFT(Table_clallam_Oversight_ActiveFunds[[#This Row],[Fund]],5)</f>
        <v>160-1</v>
      </c>
    </row>
    <row r="690" ht="15" customHeight="1" spans="1:5" x14ac:dyDescent="0.25">
      <c r="A690">
        <v>1</v>
      </c>
      <c r="B690" t="str">
        <f>LEFT(Table_clallam_Oversight_ActiveFunds[[#This Row],[Agency]],3)</f>
        <v>461</v>
      </c>
      <c r="C690" t="s">
        <v>1484</v>
      </c>
      <c r="D690" t="s">
        <v>1224</v>
      </c>
      <c r="E690" t="str">
        <f>LEFT(Table_clallam_Oversight_ActiveFunds[[#This Row],[Fund]],5)</f>
        <v>163-1</v>
      </c>
    </row>
    <row r="691" ht="15" customHeight="1" spans="1:5" x14ac:dyDescent="0.25">
      <c r="A691">
        <v>1</v>
      </c>
      <c r="B691" t="str">
        <f>LEFT(Table_clallam_Oversight_ActiveFunds[[#This Row],[Agency]],3)</f>
        <v>461</v>
      </c>
      <c r="C691" t="s">
        <v>1484</v>
      </c>
      <c r="D691" t="s">
        <v>1242</v>
      </c>
      <c r="E691" t="str">
        <f>LEFT(Table_clallam_Oversight_ActiveFunds[[#This Row],[Fund]],5)</f>
        <v>16T-6</v>
      </c>
    </row>
    <row r="692" ht="15" customHeight="1" spans="1:5" x14ac:dyDescent="0.25">
      <c r="A692">
        <v>1</v>
      </c>
      <c r="B692" t="str">
        <f>LEFT(Table_clallam_Oversight_ActiveFunds[[#This Row],[Agency]],3)</f>
        <v>461</v>
      </c>
      <c r="C692" t="s">
        <v>1484</v>
      </c>
      <c r="D692" t="s">
        <v>1245</v>
      </c>
      <c r="E692" t="str">
        <f>LEFT(Table_clallam_Oversight_ActiveFunds[[#This Row],[Fund]],5)</f>
        <v>16V-1</v>
      </c>
    </row>
    <row r="693" ht="15" customHeight="1" spans="1:5" x14ac:dyDescent="0.25">
      <c r="A693">
        <v>1</v>
      </c>
      <c r="B693" t="str">
        <f>LEFT(Table_clallam_Oversight_ActiveFunds[[#This Row],[Agency]],3)</f>
        <v>461</v>
      </c>
      <c r="C693" t="s">
        <v>1484</v>
      </c>
      <c r="D693" t="s">
        <v>1250</v>
      </c>
      <c r="E693" t="str">
        <f>LEFT(Table_clallam_Oversight_ActiveFunds[[#This Row],[Fund]],5)</f>
        <v>176-1</v>
      </c>
    </row>
    <row r="694" ht="15" customHeight="1" spans="1:5" x14ac:dyDescent="0.25">
      <c r="A694">
        <v>1</v>
      </c>
      <c r="B694" t="str">
        <f>LEFT(Table_clallam_Oversight_ActiveFunds[[#This Row],[Agency]],3)</f>
        <v>461</v>
      </c>
      <c r="C694" t="s">
        <v>1484</v>
      </c>
      <c r="D694" t="s">
        <v>1268</v>
      </c>
      <c r="E694" t="str">
        <f>LEFT(Table_clallam_Oversight_ActiveFunds[[#This Row],[Fund]],5)</f>
        <v>182-1</v>
      </c>
    </row>
    <row r="695" ht="15" customHeight="1" spans="1:5" x14ac:dyDescent="0.25">
      <c r="A695">
        <v>1</v>
      </c>
      <c r="B695" t="str">
        <f>LEFT(Table_clallam_Oversight_ActiveFunds[[#This Row],[Agency]],3)</f>
        <v>461</v>
      </c>
      <c r="C695" t="s">
        <v>1484</v>
      </c>
      <c r="D695" t="s">
        <v>1291</v>
      </c>
      <c r="E695" t="str">
        <f>LEFT(Table_clallam_Oversight_ActiveFunds[[#This Row],[Fund]],5)</f>
        <v>199-1</v>
      </c>
    </row>
    <row r="696" ht="15" customHeight="1" spans="1:5" x14ac:dyDescent="0.25">
      <c r="A696">
        <v>1</v>
      </c>
      <c r="B696" t="str">
        <f>LEFT(Table_clallam_Oversight_ActiveFunds[[#This Row],[Agency]],3)</f>
        <v>461</v>
      </c>
      <c r="C696" t="s">
        <v>1484</v>
      </c>
      <c r="D696" t="s">
        <v>1315</v>
      </c>
      <c r="E696" t="str">
        <f>LEFT(Table_clallam_Oversight_ActiveFunds[[#This Row],[Fund]],5)</f>
        <v>207-1</v>
      </c>
    </row>
    <row r="697" ht="15" customHeight="1" spans="1:5" x14ac:dyDescent="0.25">
      <c r="A697">
        <v>1</v>
      </c>
      <c r="B697" t="str">
        <f>LEFT(Table_clallam_Oversight_ActiveFunds[[#This Row],[Agency]],3)</f>
        <v>461</v>
      </c>
      <c r="C697" t="s">
        <v>1484</v>
      </c>
      <c r="D697" t="s">
        <v>1326</v>
      </c>
      <c r="E697" t="str">
        <f>LEFT(Table_clallam_Oversight_ActiveFunds[[#This Row],[Fund]],5)</f>
        <v>20R-1</v>
      </c>
    </row>
    <row r="698" ht="15" customHeight="1" spans="1:5" x14ac:dyDescent="0.25">
      <c r="A698">
        <v>1</v>
      </c>
      <c r="B698" t="str">
        <f>LEFT(Table_clallam_Oversight_ActiveFunds[[#This Row],[Agency]],3)</f>
        <v>461</v>
      </c>
      <c r="C698" t="s">
        <v>1484</v>
      </c>
      <c r="D698" t="s">
        <v>1335</v>
      </c>
      <c r="E698" t="str">
        <f>LEFT(Table_clallam_Oversight_ActiveFunds[[#This Row],[Fund]],5)</f>
        <v>216-1</v>
      </c>
    </row>
    <row r="699" ht="15" customHeight="1" spans="1:5" x14ac:dyDescent="0.25">
      <c r="A699">
        <v>1</v>
      </c>
      <c r="B699" t="str">
        <f>LEFT(Table_clallam_Oversight_ActiveFunds[[#This Row],[Agency]],3)</f>
        <v>461</v>
      </c>
      <c r="C699" t="s">
        <v>1484</v>
      </c>
      <c r="D699" t="s">
        <v>1336</v>
      </c>
      <c r="E699" t="str">
        <f>LEFT(Table_clallam_Oversight_ActiveFunds[[#This Row],[Fund]],5)</f>
        <v>217-1</v>
      </c>
    </row>
    <row r="700" ht="15" customHeight="1" spans="1:5" x14ac:dyDescent="0.25">
      <c r="A700">
        <v>1</v>
      </c>
      <c r="B700" t="str">
        <f>LEFT(Table_clallam_Oversight_ActiveFunds[[#This Row],[Agency]],3)</f>
        <v>461</v>
      </c>
      <c r="C700" t="s">
        <v>1484</v>
      </c>
      <c r="D700" t="s">
        <v>1340</v>
      </c>
      <c r="E700" t="str">
        <f>LEFT(Table_clallam_Oversight_ActiveFunds[[#This Row],[Fund]],5)</f>
        <v>219-1</v>
      </c>
    </row>
    <row r="701" ht="15" customHeight="1" spans="1:5" x14ac:dyDescent="0.25">
      <c r="A701">
        <v>1</v>
      </c>
      <c r="B701" t="str">
        <f>LEFT(Table_clallam_Oversight_ActiveFunds[[#This Row],[Agency]],3)</f>
        <v>461</v>
      </c>
      <c r="C701" t="s">
        <v>1484</v>
      </c>
      <c r="D701" t="s">
        <v>1344</v>
      </c>
      <c r="E701" t="str">
        <f>LEFT(Table_clallam_Oversight_ActiveFunds[[#This Row],[Fund]],5)</f>
        <v>21H-1</v>
      </c>
    </row>
    <row r="702" ht="15" customHeight="1" spans="1:5" x14ac:dyDescent="0.25">
      <c r="A702">
        <v>1</v>
      </c>
      <c r="B702" t="str">
        <f>LEFT(Table_clallam_Oversight_ActiveFunds[[#This Row],[Agency]],3)</f>
        <v>461</v>
      </c>
      <c r="C702" t="s">
        <v>1484</v>
      </c>
      <c r="D702" t="s">
        <v>1351</v>
      </c>
      <c r="E702" t="str">
        <f>LEFT(Table_clallam_Oversight_ActiveFunds[[#This Row],[Fund]],5)</f>
        <v>223-1</v>
      </c>
    </row>
    <row r="703" ht="15" customHeight="1" spans="1:5" x14ac:dyDescent="0.25">
      <c r="A703">
        <v>1</v>
      </c>
      <c r="B703" t="str">
        <f>LEFT(Table_clallam_Oversight_ActiveFunds[[#This Row],[Agency]],3)</f>
        <v>461</v>
      </c>
      <c r="C703" t="s">
        <v>1484</v>
      </c>
      <c r="D703" t="s">
        <v>1354</v>
      </c>
      <c r="E703" t="str">
        <f>LEFT(Table_clallam_Oversight_ActiveFunds[[#This Row],[Fund]],5)</f>
        <v>22G-6</v>
      </c>
    </row>
    <row r="704" ht="15" customHeight="1" spans="1:5" x14ac:dyDescent="0.25">
      <c r="A704">
        <v>1</v>
      </c>
      <c r="B704" t="str">
        <f>LEFT(Table_clallam_Oversight_ActiveFunds[[#This Row],[Agency]],3)</f>
        <v>461</v>
      </c>
      <c r="C704" t="s">
        <v>1484</v>
      </c>
      <c r="D704" t="s">
        <v>1283</v>
      </c>
      <c r="E704" t="str">
        <f>LEFT(Table_clallam_Oversight_ActiveFunds[[#This Row],[Fund]],5)</f>
        <v>23P-1</v>
      </c>
    </row>
    <row r="705" ht="15" customHeight="1" spans="1:5" x14ac:dyDescent="0.25">
      <c r="A705">
        <v>1</v>
      </c>
      <c r="B705" t="str">
        <f>LEFT(Table_clallam_Oversight_ActiveFunds[[#This Row],[Agency]],3)</f>
        <v>461</v>
      </c>
      <c r="C705" t="s">
        <v>1484</v>
      </c>
      <c r="D705" t="s">
        <v>1367</v>
      </c>
      <c r="E705" t="str">
        <f>LEFT(Table_clallam_Oversight_ActiveFunds[[#This Row],[Fund]],5)</f>
        <v>23P-7</v>
      </c>
    </row>
    <row r="706" ht="15" customHeight="1" spans="1:5" x14ac:dyDescent="0.25">
      <c r="A706">
        <v>1</v>
      </c>
      <c r="B706" t="str">
        <f>LEFT(Table_clallam_Oversight_ActiveFunds[[#This Row],[Agency]],3)</f>
        <v>461</v>
      </c>
      <c r="C706" t="s">
        <v>1484</v>
      </c>
      <c r="D706" t="s">
        <v>1144</v>
      </c>
      <c r="E706" t="str">
        <f>LEFT(Table_clallam_Oversight_ActiveFunds[[#This Row],[Fund]],5)</f>
        <v>23R-1</v>
      </c>
    </row>
    <row r="707" ht="15" customHeight="1" spans="1:5" x14ac:dyDescent="0.25">
      <c r="A707">
        <v>1</v>
      </c>
      <c r="B707" t="str">
        <f>LEFT(Table_clallam_Oversight_ActiveFunds[[#This Row],[Agency]],3)</f>
        <v>461</v>
      </c>
      <c r="C707" t="s">
        <v>1484</v>
      </c>
      <c r="D707" t="s">
        <v>1370</v>
      </c>
      <c r="E707" t="str">
        <f>LEFT(Table_clallam_Oversight_ActiveFunds[[#This Row],[Fund]],5)</f>
        <v>23V-1</v>
      </c>
    </row>
    <row r="708" ht="15" customHeight="1" spans="1:5" x14ac:dyDescent="0.25">
      <c r="A708">
        <v>1</v>
      </c>
      <c r="B708" t="str">
        <f>LEFT(Table_clallam_Oversight_ActiveFunds[[#This Row],[Agency]],3)</f>
        <v>461</v>
      </c>
      <c r="C708" t="s">
        <v>1484</v>
      </c>
      <c r="D708" t="s">
        <v>1372</v>
      </c>
      <c r="E708" t="str">
        <f>LEFT(Table_clallam_Oversight_ActiveFunds[[#This Row],[Fund]],5)</f>
        <v>23W-1</v>
      </c>
    </row>
    <row r="709" ht="15" customHeight="1" spans="1:5" x14ac:dyDescent="0.25">
      <c r="A709">
        <v>1</v>
      </c>
      <c r="B709" t="str">
        <f>LEFT(Table_clallam_Oversight_ActiveFunds[[#This Row],[Agency]],3)</f>
        <v>461</v>
      </c>
      <c r="C709" t="s">
        <v>1484</v>
      </c>
      <c r="D709" t="s">
        <v>1388</v>
      </c>
      <c r="E709" t="str">
        <f>LEFT(Table_clallam_Oversight_ActiveFunds[[#This Row],[Fund]],5)</f>
        <v>25Q-1</v>
      </c>
    </row>
    <row r="710" ht="15" customHeight="1" spans="1:5" x14ac:dyDescent="0.25">
      <c r="A710">
        <v>1</v>
      </c>
      <c r="B710" t="str">
        <f>LEFT(Table_clallam_Oversight_ActiveFunds[[#This Row],[Agency]],3)</f>
        <v>461</v>
      </c>
      <c r="C710" t="s">
        <v>1484</v>
      </c>
      <c r="D710" t="s">
        <v>1389</v>
      </c>
      <c r="E710" t="str">
        <f>LEFT(Table_clallam_Oversight_ActiveFunds[[#This Row],[Fund]],5)</f>
        <v>25R-6</v>
      </c>
    </row>
    <row r="711" ht="15" customHeight="1" spans="1:5" x14ac:dyDescent="0.25">
      <c r="A711">
        <v>1</v>
      </c>
      <c r="B711" t="str">
        <f>LEFT(Table_clallam_Oversight_ActiveFunds[[#This Row],[Agency]],3)</f>
        <v>461</v>
      </c>
      <c r="C711" t="s">
        <v>1484</v>
      </c>
      <c r="D711" t="s">
        <v>898</v>
      </c>
      <c r="E711" t="str">
        <f>LEFT(Table_clallam_Oversight_ActiveFunds[[#This Row],[Fund]],5)</f>
        <v>26B-1</v>
      </c>
    </row>
    <row r="712" ht="15" customHeight="1" spans="1:5" x14ac:dyDescent="0.25">
      <c r="A712">
        <v>1</v>
      </c>
      <c r="B712" t="str">
        <f>LEFT(Table_clallam_Oversight_ActiveFunds[[#This Row],[Agency]],3)</f>
        <v>461</v>
      </c>
      <c r="C712" t="s">
        <v>1484</v>
      </c>
      <c r="D712" t="s">
        <v>1153</v>
      </c>
      <c r="E712" t="str">
        <f>LEFT(Table_clallam_Oversight_ActiveFunds[[#This Row],[Fund]],5)</f>
        <v>315-1</v>
      </c>
    </row>
    <row r="713" ht="15" customHeight="1" spans="1:5" x14ac:dyDescent="0.25">
      <c r="A713">
        <v>1</v>
      </c>
      <c r="B713" t="str">
        <f>LEFT(Table_clallam_Oversight_ActiveFunds[[#This Row],[Agency]],3)</f>
        <v>461</v>
      </c>
      <c r="C713" t="s">
        <v>1484</v>
      </c>
      <c r="D713" t="s">
        <v>1420</v>
      </c>
      <c r="E713" t="str">
        <f>LEFT(Table_clallam_Oversight_ActiveFunds[[#This Row],[Fund]],5)</f>
        <v>408-6</v>
      </c>
    </row>
    <row r="714" ht="15" customHeight="1" spans="1:5" x14ac:dyDescent="0.25">
      <c r="A714">
        <v>1</v>
      </c>
      <c r="B714" t="str">
        <f>LEFT(Table_clallam_Oversight_ActiveFunds[[#This Row],[Agency]],3)</f>
        <v>461</v>
      </c>
      <c r="C714" t="s">
        <v>1484</v>
      </c>
      <c r="D714" t="s">
        <v>1446</v>
      </c>
      <c r="E714" t="str">
        <f>LEFT(Table_clallam_Oversight_ActiveFunds[[#This Row],[Fund]],5)</f>
        <v>564-1</v>
      </c>
    </row>
    <row r="715" ht="15" customHeight="1" spans="1:5" x14ac:dyDescent="0.25">
      <c r="A715">
        <v>1</v>
      </c>
      <c r="B715" t="str">
        <f>LEFT(Table_clallam_Oversight_ActiveFunds[[#This Row],[Agency]],3)</f>
        <v>461</v>
      </c>
      <c r="C715" t="s">
        <v>1484</v>
      </c>
      <c r="D715" t="s">
        <v>1104</v>
      </c>
      <c r="E715" t="str">
        <f>LEFT(Table_clallam_Oversight_ActiveFunds[[#This Row],[Fund]],5)</f>
        <v>08R-1</v>
      </c>
    </row>
    <row r="716" ht="15" customHeight="1" spans="1:5" x14ac:dyDescent="0.25">
      <c r="A716">
        <v>1</v>
      </c>
      <c r="B716" t="str">
        <f>LEFT(Table_clallam_Oversight_ActiveFunds[[#This Row],[Agency]],3)</f>
        <v>462</v>
      </c>
      <c r="C716" t="s">
        <v>1485</v>
      </c>
      <c r="D716" t="s">
        <v>144</v>
      </c>
      <c r="E716" t="str">
        <f>LEFT(Table_clallam_Oversight_ActiveFunds[[#This Row],[Fund]],5)</f>
        <v>001-2</v>
      </c>
    </row>
    <row r="717" ht="15" customHeight="1" spans="1:5" x14ac:dyDescent="0.25">
      <c r="A717">
        <v>1</v>
      </c>
      <c r="B717" t="str">
        <f>LEFT(Table_clallam_Oversight_ActiveFunds[[#This Row],[Agency]],3)</f>
        <v>462</v>
      </c>
      <c r="C717" t="s">
        <v>1485</v>
      </c>
      <c r="D717" t="s">
        <v>1327</v>
      </c>
      <c r="E717" t="str">
        <f>LEFT(Table_clallam_Oversight_ActiveFunds[[#This Row],[Fund]],5)</f>
        <v>20T-1</v>
      </c>
    </row>
    <row r="718" ht="15" customHeight="1" spans="1:5" x14ac:dyDescent="0.25">
      <c r="A718">
        <v>1</v>
      </c>
      <c r="B718" t="str">
        <f>LEFT(Table_clallam_Oversight_ActiveFunds[[#This Row],[Agency]],3)</f>
        <v>462</v>
      </c>
      <c r="C718" t="s">
        <v>1485</v>
      </c>
      <c r="D718" t="s">
        <v>1441</v>
      </c>
      <c r="E718" t="str">
        <f>LEFT(Table_clallam_Oversight_ActiveFunds[[#This Row],[Fund]],5)</f>
        <v>544-1</v>
      </c>
    </row>
    <row r="719" ht="15" customHeight="1" spans="1:5" x14ac:dyDescent="0.25">
      <c r="A719">
        <v>1</v>
      </c>
      <c r="B719" t="str">
        <f>LEFT(Table_clallam_Oversight_ActiveFunds[[#This Row],[Agency]],3)</f>
        <v>462</v>
      </c>
      <c r="C719" t="s">
        <v>1485</v>
      </c>
      <c r="D719" t="s">
        <v>1442</v>
      </c>
      <c r="E719" t="str">
        <f>LEFT(Table_clallam_Oversight_ActiveFunds[[#This Row],[Fund]],5)</f>
        <v>545-6</v>
      </c>
    </row>
    <row r="720" ht="15" customHeight="1" spans="1:5" x14ac:dyDescent="0.25">
      <c r="A720">
        <v>1</v>
      </c>
      <c r="B720" t="str">
        <f>LEFT(Table_clallam_Oversight_ActiveFunds[[#This Row],[Agency]],3)</f>
        <v>463</v>
      </c>
      <c r="C720" t="s">
        <v>1486</v>
      </c>
      <c r="D720" t="s">
        <v>28</v>
      </c>
      <c r="E720" t="str">
        <f>LEFT(Table_clallam_Oversight_ActiveFunds[[#This Row],[Fund]],5)</f>
        <v>001-1</v>
      </c>
    </row>
    <row r="721" ht="15" customHeight="1" spans="1:5" x14ac:dyDescent="0.25">
      <c r="A721">
        <v>1</v>
      </c>
      <c r="B721" t="str">
        <f>LEFT(Table_clallam_Oversight_ActiveFunds[[#This Row],[Agency]],3)</f>
        <v>463</v>
      </c>
      <c r="C721" t="s">
        <v>1486</v>
      </c>
      <c r="D721" t="s">
        <v>1401</v>
      </c>
      <c r="E721" t="str">
        <f>LEFT(Table_clallam_Oversight_ActiveFunds[[#This Row],[Fund]],5)</f>
        <v>26G-7</v>
      </c>
    </row>
    <row r="722" ht="15" customHeight="1" spans="1:5" x14ac:dyDescent="0.25">
      <c r="A722">
        <v>1</v>
      </c>
      <c r="B722" t="str">
        <f>LEFT(Table_clallam_Oversight_ActiveFunds[[#This Row],[Agency]],3)</f>
        <v>465</v>
      </c>
      <c r="C722" t="s">
        <v>1487</v>
      </c>
      <c r="D722" t="s">
        <v>28</v>
      </c>
      <c r="E722" t="str">
        <f>LEFT(Table_clallam_Oversight_ActiveFunds[[#This Row],[Fund]],5)</f>
        <v>001-1</v>
      </c>
    </row>
    <row r="723" ht="15" customHeight="1" spans="1:5" x14ac:dyDescent="0.25">
      <c r="A723">
        <v>1</v>
      </c>
      <c r="B723" t="str">
        <f>LEFT(Table_clallam_Oversight_ActiveFunds[[#This Row],[Agency]],3)</f>
        <v>465</v>
      </c>
      <c r="C723" t="s">
        <v>1487</v>
      </c>
      <c r="D723" t="s">
        <v>144</v>
      </c>
      <c r="E723" t="str">
        <f>LEFT(Table_clallam_Oversight_ActiveFunds[[#This Row],[Fund]],5)</f>
        <v>001-2</v>
      </c>
    </row>
    <row r="724" ht="15" customHeight="1" spans="1:5" x14ac:dyDescent="0.25">
      <c r="A724">
        <v>1</v>
      </c>
      <c r="B724" t="str">
        <f>LEFT(Table_clallam_Oversight_ActiveFunds[[#This Row],[Agency]],3)</f>
        <v>465</v>
      </c>
      <c r="C724" t="s">
        <v>1487</v>
      </c>
      <c r="D724" t="s">
        <v>778</v>
      </c>
      <c r="E724" t="str">
        <f>LEFT(Table_clallam_Oversight_ActiveFunds[[#This Row],[Fund]],5)</f>
        <v>007-1</v>
      </c>
    </row>
    <row r="725" ht="15" customHeight="1" spans="1:5" x14ac:dyDescent="0.25">
      <c r="A725">
        <v>1</v>
      </c>
      <c r="B725" t="str">
        <f>LEFT(Table_clallam_Oversight_ActiveFunds[[#This Row],[Agency]],3)</f>
        <v>465</v>
      </c>
      <c r="C725" t="s">
        <v>1487</v>
      </c>
      <c r="D725" t="s">
        <v>789</v>
      </c>
      <c r="E725" t="str">
        <f>LEFT(Table_clallam_Oversight_ActiveFunds[[#This Row],[Fund]],5)</f>
        <v>018-1</v>
      </c>
    </row>
    <row r="726" ht="15" customHeight="1" spans="1:5" x14ac:dyDescent="0.25">
      <c r="A726">
        <v>1</v>
      </c>
      <c r="B726" t="str">
        <f>LEFT(Table_clallam_Oversight_ActiveFunds[[#This Row],[Agency]],3)</f>
        <v>465</v>
      </c>
      <c r="C726" t="s">
        <v>1487</v>
      </c>
      <c r="D726" t="s">
        <v>794</v>
      </c>
      <c r="E726" t="str">
        <f>LEFT(Table_clallam_Oversight_ActiveFunds[[#This Row],[Fund]],5)</f>
        <v>01B-1</v>
      </c>
    </row>
    <row r="727" ht="15" customHeight="1" spans="1:5" x14ac:dyDescent="0.25">
      <c r="A727">
        <v>1</v>
      </c>
      <c r="B727" t="str">
        <f>LEFT(Table_clallam_Oversight_ActiveFunds[[#This Row],[Agency]],3)</f>
        <v>465</v>
      </c>
      <c r="C727" t="s">
        <v>1487</v>
      </c>
      <c r="D727" t="s">
        <v>805</v>
      </c>
      <c r="E727" t="str">
        <f>LEFT(Table_clallam_Oversight_ActiveFunds[[#This Row],[Fund]],5)</f>
        <v>01M-1</v>
      </c>
    </row>
    <row r="728" ht="15" customHeight="1" spans="1:5" x14ac:dyDescent="0.25">
      <c r="A728">
        <v>1</v>
      </c>
      <c r="B728" t="str">
        <f>LEFT(Table_clallam_Oversight_ActiveFunds[[#This Row],[Agency]],3)</f>
        <v>465</v>
      </c>
      <c r="C728" t="s">
        <v>1487</v>
      </c>
      <c r="D728" t="s">
        <v>855</v>
      </c>
      <c r="E728" t="str">
        <f>LEFT(Table_clallam_Oversight_ActiveFunds[[#This Row],[Fund]],5)</f>
        <v>02R-1</v>
      </c>
    </row>
    <row r="729" ht="15" customHeight="1" spans="1:5" x14ac:dyDescent="0.25">
      <c r="A729">
        <v>1</v>
      </c>
      <c r="B729" t="str">
        <f>LEFT(Table_clallam_Oversight_ActiveFunds[[#This Row],[Agency]],3)</f>
        <v>465</v>
      </c>
      <c r="C729" t="s">
        <v>1487</v>
      </c>
      <c r="D729" t="s">
        <v>1101</v>
      </c>
      <c r="E729" t="str">
        <f>LEFT(Table_clallam_Oversight_ActiveFunds[[#This Row],[Fund]],5)</f>
        <v>08P-6</v>
      </c>
    </row>
    <row r="730" ht="15" customHeight="1" spans="1:5" x14ac:dyDescent="0.25">
      <c r="A730">
        <v>1</v>
      </c>
      <c r="B730" t="str">
        <f>LEFT(Table_clallam_Oversight_ActiveFunds[[#This Row],[Agency]],3)</f>
        <v>465</v>
      </c>
      <c r="C730" t="s">
        <v>1487</v>
      </c>
      <c r="D730" t="s">
        <v>1120</v>
      </c>
      <c r="E730" t="str">
        <f>LEFT(Table_clallam_Oversight_ActiveFunds[[#This Row],[Fund]],5)</f>
        <v>09B-6</v>
      </c>
    </row>
    <row r="731" ht="15" customHeight="1" spans="1:5" x14ac:dyDescent="0.25">
      <c r="A731">
        <v>1</v>
      </c>
      <c r="B731" t="str">
        <f>LEFT(Table_clallam_Oversight_ActiveFunds[[#This Row],[Agency]],3)</f>
        <v>465</v>
      </c>
      <c r="C731" t="s">
        <v>1487</v>
      </c>
      <c r="D731" t="s">
        <v>1183</v>
      </c>
      <c r="E731" t="str">
        <f>LEFT(Table_clallam_Oversight_ActiveFunds[[#This Row],[Fund]],5)</f>
        <v>12L-6</v>
      </c>
    </row>
    <row r="732" ht="15" customHeight="1" spans="1:5" x14ac:dyDescent="0.25">
      <c r="A732">
        <v>1</v>
      </c>
      <c r="B732" t="str">
        <f>LEFT(Table_clallam_Oversight_ActiveFunds[[#This Row],[Agency]],3)</f>
        <v>465</v>
      </c>
      <c r="C732" t="s">
        <v>1487</v>
      </c>
      <c r="D732" t="s">
        <v>1215</v>
      </c>
      <c r="E732" t="str">
        <f>LEFT(Table_clallam_Oversight_ActiveFunds[[#This Row],[Fund]],5)</f>
        <v>159-6</v>
      </c>
    </row>
    <row r="733" ht="15" customHeight="1" spans="1:5" x14ac:dyDescent="0.25">
      <c r="A733">
        <v>1</v>
      </c>
      <c r="B733" t="str">
        <f>LEFT(Table_clallam_Oversight_ActiveFunds[[#This Row],[Agency]],3)</f>
        <v>465</v>
      </c>
      <c r="C733" t="s">
        <v>1487</v>
      </c>
      <c r="D733" t="s">
        <v>1396</v>
      </c>
      <c r="E733" t="str">
        <f>LEFT(Table_clallam_Oversight_ActiveFunds[[#This Row],[Fund]],5)</f>
        <v>269-1</v>
      </c>
    </row>
    <row r="734" ht="15" customHeight="1" spans="1:5" x14ac:dyDescent="0.25">
      <c r="A734">
        <v>1</v>
      </c>
      <c r="B734" t="str">
        <f>LEFT(Table_clallam_Oversight_ActiveFunds[[#This Row],[Agency]],3)</f>
        <v>465</v>
      </c>
      <c r="C734" t="s">
        <v>1487</v>
      </c>
      <c r="D734" t="s">
        <v>1397</v>
      </c>
      <c r="E734" t="str">
        <f>LEFT(Table_clallam_Oversight_ActiveFunds[[#This Row],[Fund]],5)</f>
        <v>269-7</v>
      </c>
    </row>
    <row r="735" ht="15" customHeight="1" spans="1:5" x14ac:dyDescent="0.25">
      <c r="A735">
        <v>1</v>
      </c>
      <c r="B735" t="str">
        <f>LEFT(Table_clallam_Oversight_ActiveFunds[[#This Row],[Agency]],3)</f>
        <v>465</v>
      </c>
      <c r="C735" t="s">
        <v>1487</v>
      </c>
      <c r="D735" t="s">
        <v>699</v>
      </c>
      <c r="E735" t="str">
        <f>LEFT(Table_clallam_Oversight_ActiveFunds[[#This Row],[Fund]],5)</f>
        <v>108-1</v>
      </c>
    </row>
    <row r="736" ht="15" customHeight="1" spans="1:5" x14ac:dyDescent="0.25">
      <c r="A736">
        <v>1</v>
      </c>
      <c r="B736" t="str">
        <f>LEFT(Table_clallam_Oversight_ActiveFunds[[#This Row],[Agency]],3)</f>
        <v>467</v>
      </c>
      <c r="C736" t="s">
        <v>1488</v>
      </c>
      <c r="D736" t="s">
        <v>28</v>
      </c>
      <c r="E736" t="str">
        <f>LEFT(Table_clallam_Oversight_ActiveFunds[[#This Row],[Fund]],5)</f>
        <v>001-1</v>
      </c>
    </row>
    <row r="737" ht="15" customHeight="1" spans="1:5" x14ac:dyDescent="0.25">
      <c r="A737">
        <v>1</v>
      </c>
      <c r="B737" t="str">
        <f>LEFT(Table_clallam_Oversight_ActiveFunds[[#This Row],[Agency]],3)</f>
        <v>467</v>
      </c>
      <c r="C737" t="s">
        <v>1488</v>
      </c>
      <c r="D737" t="s">
        <v>144</v>
      </c>
      <c r="E737" t="str">
        <f>LEFT(Table_clallam_Oversight_ActiveFunds[[#This Row],[Fund]],5)</f>
        <v>001-2</v>
      </c>
    </row>
    <row r="738" ht="15" customHeight="1" spans="1:5" x14ac:dyDescent="0.25">
      <c r="A738">
        <v>1</v>
      </c>
      <c r="B738" t="str">
        <f>LEFT(Table_clallam_Oversight_ActiveFunds[[#This Row],[Agency]],3)</f>
        <v>467</v>
      </c>
      <c r="C738" t="s">
        <v>1488</v>
      </c>
      <c r="D738" t="s">
        <v>712</v>
      </c>
      <c r="E738" t="str">
        <f>LEFT(Table_clallam_Oversight_ActiveFunds[[#This Row],[Fund]],5)</f>
        <v>001-7</v>
      </c>
    </row>
    <row r="739" ht="15" customHeight="1" spans="1:5" x14ac:dyDescent="0.25">
      <c r="A739">
        <v>1</v>
      </c>
      <c r="B739" t="str">
        <f>LEFT(Table_clallam_Oversight_ActiveFunds[[#This Row],[Agency]],3)</f>
        <v>467</v>
      </c>
      <c r="C739" t="s">
        <v>1488</v>
      </c>
      <c r="D739" t="s">
        <v>855</v>
      </c>
      <c r="E739" t="str">
        <f>LEFT(Table_clallam_Oversight_ActiveFunds[[#This Row],[Fund]],5)</f>
        <v>02R-1</v>
      </c>
    </row>
    <row r="740" ht="15" customHeight="1" spans="1:5" x14ac:dyDescent="0.25">
      <c r="A740">
        <v>1</v>
      </c>
      <c r="B740" t="str">
        <f>LEFT(Table_clallam_Oversight_ActiveFunds[[#This Row],[Agency]],3)</f>
        <v>467</v>
      </c>
      <c r="C740" t="s">
        <v>1488</v>
      </c>
      <c r="D740" t="s">
        <v>1025</v>
      </c>
      <c r="E740" t="str">
        <f>LEFT(Table_clallam_Oversight_ActiveFunds[[#This Row],[Fund]],5)</f>
        <v>06A-1</v>
      </c>
    </row>
    <row r="741" ht="15" customHeight="1" spans="1:5" x14ac:dyDescent="0.25">
      <c r="A741">
        <v>1</v>
      </c>
      <c r="B741" t="str">
        <f>LEFT(Table_clallam_Oversight_ActiveFunds[[#This Row],[Agency]],3)</f>
        <v>467</v>
      </c>
      <c r="C741" t="s">
        <v>1488</v>
      </c>
      <c r="D741" t="s">
        <v>1200</v>
      </c>
      <c r="E741" t="str">
        <f>LEFT(Table_clallam_Oversight_ActiveFunds[[#This Row],[Fund]],5)</f>
        <v>146-1</v>
      </c>
    </row>
    <row r="742" ht="15" customHeight="1" spans="1:5" x14ac:dyDescent="0.25">
      <c r="A742">
        <v>1</v>
      </c>
      <c r="B742" t="str">
        <f>LEFT(Table_clallam_Oversight_ActiveFunds[[#This Row],[Agency]],3)</f>
        <v>467</v>
      </c>
      <c r="C742" t="s">
        <v>1488</v>
      </c>
      <c r="D742" t="s">
        <v>1392</v>
      </c>
      <c r="E742" t="str">
        <f>LEFT(Table_clallam_Oversight_ActiveFunds[[#This Row],[Fund]],5)</f>
        <v>267-1</v>
      </c>
    </row>
    <row r="743" ht="15" customHeight="1" spans="1:5" x14ac:dyDescent="0.25">
      <c r="A743">
        <v>1</v>
      </c>
      <c r="B743" t="str">
        <f>LEFT(Table_clallam_Oversight_ActiveFunds[[#This Row],[Agency]],3)</f>
        <v>467</v>
      </c>
      <c r="C743" t="s">
        <v>1488</v>
      </c>
      <c r="D743" t="s">
        <v>1394</v>
      </c>
      <c r="E743" t="str">
        <f>LEFT(Table_clallam_Oversight_ActiveFunds[[#This Row],[Fund]],5)</f>
        <v>268-1</v>
      </c>
    </row>
    <row r="744" ht="15" customHeight="1" spans="1:5" x14ac:dyDescent="0.25">
      <c r="A744">
        <v>1</v>
      </c>
      <c r="B744" t="str">
        <f>LEFT(Table_clallam_Oversight_ActiveFunds[[#This Row],[Agency]],3)</f>
        <v>467</v>
      </c>
      <c r="C744" t="s">
        <v>1488</v>
      </c>
      <c r="D744" t="s">
        <v>1457</v>
      </c>
      <c r="E744" t="str">
        <f>LEFT(Table_clallam_Oversight_ActiveFunds[[#This Row],[Fund]],5)</f>
        <v>818-1</v>
      </c>
    </row>
    <row r="745" ht="15" customHeight="1" spans="1:5" x14ac:dyDescent="0.25">
      <c r="A745">
        <v>1</v>
      </c>
      <c r="B745" t="str">
        <f>LEFT(Table_clallam_Oversight_ActiveFunds[[#This Row],[Agency]],3)</f>
        <v>468</v>
      </c>
      <c r="C745" t="s">
        <v>1489</v>
      </c>
      <c r="D745" t="s">
        <v>28</v>
      </c>
      <c r="E745" t="str">
        <f>LEFT(Table_clallam_Oversight_ActiveFunds[[#This Row],[Fund]],5)</f>
        <v>001-1</v>
      </c>
    </row>
    <row r="746" ht="15" customHeight="1" spans="1:5" x14ac:dyDescent="0.25">
      <c r="A746">
        <v>1</v>
      </c>
      <c r="B746" t="str">
        <f>LEFT(Table_clallam_Oversight_ActiveFunds[[#This Row],[Agency]],3)</f>
        <v>471</v>
      </c>
      <c r="C746" t="s">
        <v>1490</v>
      </c>
      <c r="D746" t="s">
        <v>28</v>
      </c>
      <c r="E746" t="str">
        <f>LEFT(Table_clallam_Oversight_ActiveFunds[[#This Row],[Fund]],5)</f>
        <v>001-1</v>
      </c>
    </row>
    <row r="747" ht="15" customHeight="1" spans="1:5" x14ac:dyDescent="0.25">
      <c r="A747">
        <v>1</v>
      </c>
      <c r="B747" t="str">
        <f>LEFT(Table_clallam_Oversight_ActiveFunds[[#This Row],[Agency]],3)</f>
        <v>471</v>
      </c>
      <c r="C747" t="s">
        <v>1490</v>
      </c>
      <c r="D747" t="s">
        <v>144</v>
      </c>
      <c r="E747" t="str">
        <f>LEFT(Table_clallam_Oversight_ActiveFunds[[#This Row],[Fund]],5)</f>
        <v>001-2</v>
      </c>
    </row>
    <row r="748" ht="15" customHeight="1" spans="1:5" x14ac:dyDescent="0.25">
      <c r="A748">
        <v>1</v>
      </c>
      <c r="B748" t="str">
        <f>LEFT(Table_clallam_Oversight_ActiveFunds[[#This Row],[Agency]],3)</f>
        <v>471</v>
      </c>
      <c r="C748" t="s">
        <v>1490</v>
      </c>
      <c r="D748" t="s">
        <v>712</v>
      </c>
      <c r="E748" t="str">
        <f>LEFT(Table_clallam_Oversight_ActiveFunds[[#This Row],[Fund]],5)</f>
        <v>001-7</v>
      </c>
    </row>
    <row r="749" ht="15" customHeight="1" spans="1:5" x14ac:dyDescent="0.25">
      <c r="A749">
        <v>1</v>
      </c>
      <c r="B749" t="str">
        <f>LEFT(Table_clallam_Oversight_ActiveFunds[[#This Row],[Agency]],3)</f>
        <v>471</v>
      </c>
      <c r="C749" t="s">
        <v>1490</v>
      </c>
      <c r="D749" t="s">
        <v>988</v>
      </c>
      <c r="E749" t="str">
        <f>LEFT(Table_clallam_Oversight_ActiveFunds[[#This Row],[Fund]],5)</f>
        <v>058-1</v>
      </c>
    </row>
    <row r="750" ht="15" customHeight="1" spans="1:5" x14ac:dyDescent="0.25">
      <c r="A750">
        <v>1</v>
      </c>
      <c r="B750" t="str">
        <f>LEFT(Table_clallam_Oversight_ActiveFunds[[#This Row],[Agency]],3)</f>
        <v>471</v>
      </c>
      <c r="C750" t="s">
        <v>1490</v>
      </c>
      <c r="D750" t="s">
        <v>1025</v>
      </c>
      <c r="E750" t="str">
        <f>LEFT(Table_clallam_Oversight_ActiveFunds[[#This Row],[Fund]],5)</f>
        <v>06A-1</v>
      </c>
    </row>
    <row r="751" ht="15" customHeight="1" spans="1:5" x14ac:dyDescent="0.25">
      <c r="A751">
        <v>1</v>
      </c>
      <c r="B751" t="str">
        <f>LEFT(Table_clallam_Oversight_ActiveFunds[[#This Row],[Agency]],3)</f>
        <v>471</v>
      </c>
      <c r="C751" t="s">
        <v>1490</v>
      </c>
      <c r="D751" t="s">
        <v>1283</v>
      </c>
      <c r="E751" t="str">
        <f>LEFT(Table_clallam_Oversight_ActiveFunds[[#This Row],[Fund]],5)</f>
        <v>23P-1</v>
      </c>
    </row>
    <row r="752" ht="15" customHeight="1" spans="1:5" x14ac:dyDescent="0.25">
      <c r="A752">
        <v>1</v>
      </c>
      <c r="B752" t="str">
        <f>LEFT(Table_clallam_Oversight_ActiveFunds[[#This Row],[Agency]],3)</f>
        <v>477</v>
      </c>
      <c r="C752" t="s">
        <v>1491</v>
      </c>
      <c r="D752" t="s">
        <v>28</v>
      </c>
      <c r="E752" t="str">
        <f>LEFT(Table_clallam_Oversight_ActiveFunds[[#This Row],[Fund]],5)</f>
        <v>001-1</v>
      </c>
    </row>
    <row r="753" ht="15" customHeight="1" spans="1:5" x14ac:dyDescent="0.25">
      <c r="A753">
        <v>1</v>
      </c>
      <c r="B753" t="str">
        <f>LEFT(Table_clallam_Oversight_ActiveFunds[[#This Row],[Agency]],3)</f>
        <v>477</v>
      </c>
      <c r="C753" t="s">
        <v>1491</v>
      </c>
      <c r="D753" t="s">
        <v>144</v>
      </c>
      <c r="E753" t="str">
        <f>LEFT(Table_clallam_Oversight_ActiveFunds[[#This Row],[Fund]],5)</f>
        <v>001-2</v>
      </c>
    </row>
    <row r="754" ht="15" customHeight="1" spans="1:5" x14ac:dyDescent="0.25">
      <c r="A754">
        <v>1</v>
      </c>
      <c r="B754" t="str">
        <f>LEFT(Table_clallam_Oversight_ActiveFunds[[#This Row],[Agency]],3)</f>
        <v>477</v>
      </c>
      <c r="C754" t="s">
        <v>1491</v>
      </c>
      <c r="D754" t="s">
        <v>712</v>
      </c>
      <c r="E754" t="str">
        <f>LEFT(Table_clallam_Oversight_ActiveFunds[[#This Row],[Fund]],5)</f>
        <v>001-7</v>
      </c>
    </row>
    <row r="755" ht="15" customHeight="1" spans="1:5" x14ac:dyDescent="0.25">
      <c r="A755">
        <v>1</v>
      </c>
      <c r="B755" t="str">
        <f>LEFT(Table_clallam_Oversight_ActiveFunds[[#This Row],[Agency]],3)</f>
        <v>477</v>
      </c>
      <c r="C755" t="s">
        <v>1491</v>
      </c>
      <c r="D755" t="s">
        <v>794</v>
      </c>
      <c r="E755" t="str">
        <f>LEFT(Table_clallam_Oversight_ActiveFunds[[#This Row],[Fund]],5)</f>
        <v>01B-1</v>
      </c>
    </row>
    <row r="756" ht="15" customHeight="1" spans="1:5" x14ac:dyDescent="0.25">
      <c r="A756">
        <v>1</v>
      </c>
      <c r="B756" t="str">
        <f>LEFT(Table_clallam_Oversight_ActiveFunds[[#This Row],[Agency]],3)</f>
        <v>477</v>
      </c>
      <c r="C756" t="s">
        <v>1491</v>
      </c>
      <c r="D756" t="s">
        <v>855</v>
      </c>
      <c r="E756" t="str">
        <f>LEFT(Table_clallam_Oversight_ActiveFunds[[#This Row],[Fund]],5)</f>
        <v>02R-1</v>
      </c>
    </row>
    <row r="757" ht="15" customHeight="1" spans="1:5" x14ac:dyDescent="0.25">
      <c r="A757">
        <v>1</v>
      </c>
      <c r="B757" t="str">
        <f>LEFT(Table_clallam_Oversight_ActiveFunds[[#This Row],[Agency]],3)</f>
        <v>477</v>
      </c>
      <c r="C757" t="s">
        <v>1491</v>
      </c>
      <c r="D757" t="s">
        <v>968</v>
      </c>
      <c r="E757" t="str">
        <f>LEFT(Table_clallam_Oversight_ActiveFunds[[#This Row],[Fund]],5)</f>
        <v>04M-1</v>
      </c>
    </row>
    <row r="758" ht="15" customHeight="1" spans="1:5" x14ac:dyDescent="0.25">
      <c r="A758">
        <v>1</v>
      </c>
      <c r="B758" t="str">
        <f>LEFT(Table_clallam_Oversight_ActiveFunds[[#This Row],[Agency]],3)</f>
        <v>477</v>
      </c>
      <c r="C758" t="s">
        <v>1491</v>
      </c>
      <c r="D758" t="s">
        <v>1025</v>
      </c>
      <c r="E758" t="str">
        <f>LEFT(Table_clallam_Oversight_ActiveFunds[[#This Row],[Fund]],5)</f>
        <v>06A-1</v>
      </c>
    </row>
    <row r="759" ht="15" customHeight="1" spans="1:5" x14ac:dyDescent="0.25">
      <c r="A759">
        <v>1</v>
      </c>
      <c r="B759" t="str">
        <f>LEFT(Table_clallam_Oversight_ActiveFunds[[#This Row],[Agency]],3)</f>
        <v>477</v>
      </c>
      <c r="C759" t="s">
        <v>1491</v>
      </c>
      <c r="D759" t="s">
        <v>1043</v>
      </c>
      <c r="E759" t="str">
        <f>LEFT(Table_clallam_Oversight_ActiveFunds[[#This Row],[Fund]],5)</f>
        <v>071-1</v>
      </c>
    </row>
    <row r="760" ht="15" customHeight="1" spans="1:5" x14ac:dyDescent="0.25">
      <c r="A760">
        <v>1</v>
      </c>
      <c r="B760" t="str">
        <f>LEFT(Table_clallam_Oversight_ActiveFunds[[#This Row],[Agency]],3)</f>
        <v>477</v>
      </c>
      <c r="C760" t="s">
        <v>1491</v>
      </c>
      <c r="D760" t="s">
        <v>1059</v>
      </c>
      <c r="E760" t="str">
        <f>LEFT(Table_clallam_Oversight_ActiveFunds[[#This Row],[Fund]],5)</f>
        <v>07V-6</v>
      </c>
    </row>
    <row r="761" ht="15" customHeight="1" spans="1:5" x14ac:dyDescent="0.25">
      <c r="A761">
        <v>1</v>
      </c>
      <c r="B761" t="str">
        <f>LEFT(Table_clallam_Oversight_ActiveFunds[[#This Row],[Agency]],3)</f>
        <v>477</v>
      </c>
      <c r="C761" t="s">
        <v>1491</v>
      </c>
      <c r="D761" t="s">
        <v>1116</v>
      </c>
      <c r="E761" t="str">
        <f>LEFT(Table_clallam_Oversight_ActiveFunds[[#This Row],[Fund]],5)</f>
        <v>098-1</v>
      </c>
    </row>
    <row r="762" ht="15" customHeight="1" spans="1:5" x14ac:dyDescent="0.25">
      <c r="A762">
        <v>1</v>
      </c>
      <c r="B762" t="str">
        <f>LEFT(Table_clallam_Oversight_ActiveFunds[[#This Row],[Agency]],3)</f>
        <v>477</v>
      </c>
      <c r="C762" t="s">
        <v>1491</v>
      </c>
      <c r="D762" t="s">
        <v>1124</v>
      </c>
      <c r="E762" t="str">
        <f>LEFT(Table_clallam_Oversight_ActiveFunds[[#This Row],[Fund]],5)</f>
        <v>09J-6</v>
      </c>
    </row>
    <row r="763" ht="15" customHeight="1" spans="1:5" x14ac:dyDescent="0.25">
      <c r="A763">
        <v>1</v>
      </c>
      <c r="B763" t="str">
        <f>LEFT(Table_clallam_Oversight_ActiveFunds[[#This Row],[Agency]],3)</f>
        <v>477</v>
      </c>
      <c r="C763" t="s">
        <v>1491</v>
      </c>
      <c r="D763" t="s">
        <v>1129</v>
      </c>
      <c r="E763" t="str">
        <f>LEFT(Table_clallam_Oversight_ActiveFunds[[#This Row],[Fund]],5)</f>
        <v>104-1</v>
      </c>
    </row>
    <row r="764" ht="15" customHeight="1" spans="1:5" x14ac:dyDescent="0.25">
      <c r="A764">
        <v>1</v>
      </c>
      <c r="B764" t="str">
        <f>LEFT(Table_clallam_Oversight_ActiveFunds[[#This Row],[Agency]],3)</f>
        <v>477</v>
      </c>
      <c r="C764" t="s">
        <v>1491</v>
      </c>
      <c r="D764" t="s">
        <v>1150</v>
      </c>
      <c r="E764" t="str">
        <f>LEFT(Table_clallam_Oversight_ActiveFunds[[#This Row],[Fund]],5)</f>
        <v>110-1</v>
      </c>
    </row>
    <row r="765" ht="15" customHeight="1" spans="1:5" x14ac:dyDescent="0.25">
      <c r="A765">
        <v>1</v>
      </c>
      <c r="B765" t="str">
        <f>LEFT(Table_clallam_Oversight_ActiveFunds[[#This Row],[Agency]],3)</f>
        <v>477</v>
      </c>
      <c r="C765" t="s">
        <v>1491</v>
      </c>
      <c r="D765" t="s">
        <v>1152</v>
      </c>
      <c r="E765" t="str">
        <f>LEFT(Table_clallam_Oversight_ActiveFunds[[#This Row],[Fund]],5)</f>
        <v>110-2</v>
      </c>
    </row>
    <row r="766" ht="15" customHeight="1" spans="1:5" x14ac:dyDescent="0.25">
      <c r="A766">
        <v>1</v>
      </c>
      <c r="B766" t="str">
        <f>LEFT(Table_clallam_Oversight_ActiveFunds[[#This Row],[Agency]],3)</f>
        <v>477</v>
      </c>
      <c r="C766" t="s">
        <v>1491</v>
      </c>
      <c r="D766" t="s">
        <v>1154</v>
      </c>
      <c r="E766" t="str">
        <f>LEFT(Table_clallam_Oversight_ActiveFunds[[#This Row],[Fund]],5)</f>
        <v>110-7</v>
      </c>
    </row>
    <row r="767" ht="15" customHeight="1" spans="1:5" x14ac:dyDescent="0.25">
      <c r="A767">
        <v>1</v>
      </c>
      <c r="B767" t="str">
        <f>LEFT(Table_clallam_Oversight_ActiveFunds[[#This Row],[Agency]],3)</f>
        <v>477</v>
      </c>
      <c r="C767" t="s">
        <v>1491</v>
      </c>
      <c r="D767" t="s">
        <v>1181</v>
      </c>
      <c r="E767" t="str">
        <f>LEFT(Table_clallam_Oversight_ActiveFunds[[#This Row],[Fund]],5)</f>
        <v>12G-6</v>
      </c>
    </row>
    <row r="768" ht="15" customHeight="1" spans="1:5" x14ac:dyDescent="0.25">
      <c r="A768">
        <v>1</v>
      </c>
      <c r="B768" t="str">
        <f>LEFT(Table_clallam_Oversight_ActiveFunds[[#This Row],[Agency]],3)</f>
        <v>477</v>
      </c>
      <c r="C768" t="s">
        <v>1491</v>
      </c>
      <c r="D768" t="s">
        <v>1204</v>
      </c>
      <c r="E768" t="str">
        <f>LEFT(Table_clallam_Oversight_ActiveFunds[[#This Row],[Fund]],5)</f>
        <v>14A-1</v>
      </c>
    </row>
    <row r="769" ht="15" customHeight="1" spans="1:5" x14ac:dyDescent="0.25">
      <c r="A769">
        <v>1</v>
      </c>
      <c r="B769" t="str">
        <f>LEFT(Table_clallam_Oversight_ActiveFunds[[#This Row],[Agency]],3)</f>
        <v>477</v>
      </c>
      <c r="C769" t="s">
        <v>1491</v>
      </c>
      <c r="D769" t="s">
        <v>1205</v>
      </c>
      <c r="E769" t="str">
        <f>LEFT(Table_clallam_Oversight_ActiveFunds[[#This Row],[Fund]],5)</f>
        <v>14G-1</v>
      </c>
    </row>
    <row r="770" ht="15" customHeight="1" spans="1:5" x14ac:dyDescent="0.25">
      <c r="A770">
        <v>1</v>
      </c>
      <c r="B770" t="str">
        <f>LEFT(Table_clallam_Oversight_ActiveFunds[[#This Row],[Agency]],3)</f>
        <v>477</v>
      </c>
      <c r="C770" t="s">
        <v>1491</v>
      </c>
      <c r="D770" t="s">
        <v>1307</v>
      </c>
      <c r="E770" t="str">
        <f>LEFT(Table_clallam_Oversight_ActiveFunds[[#This Row],[Fund]],5)</f>
        <v>19W-6</v>
      </c>
    </row>
    <row r="771" ht="15" customHeight="1" spans="1:5" x14ac:dyDescent="0.25">
      <c r="A771">
        <v>1</v>
      </c>
      <c r="B771" t="str">
        <f>LEFT(Table_clallam_Oversight_ActiveFunds[[#This Row],[Agency]],3)</f>
        <v>477</v>
      </c>
      <c r="C771" t="s">
        <v>1491</v>
      </c>
      <c r="D771" t="s">
        <v>1308</v>
      </c>
      <c r="E771" t="str">
        <f>LEFT(Table_clallam_Oversight_ActiveFunds[[#This Row],[Fund]],5)</f>
        <v>200-2</v>
      </c>
    </row>
    <row r="772" ht="15" customHeight="1" spans="1:5" x14ac:dyDescent="0.25">
      <c r="A772">
        <v>1</v>
      </c>
      <c r="B772" t="str">
        <f>LEFT(Table_clallam_Oversight_ActiveFunds[[#This Row],[Agency]],3)</f>
        <v>477</v>
      </c>
      <c r="C772" t="s">
        <v>1491</v>
      </c>
      <c r="D772" t="s">
        <v>1317</v>
      </c>
      <c r="E772" t="str">
        <f>LEFT(Table_clallam_Oversight_ActiveFunds[[#This Row],[Fund]],5)</f>
        <v>209-6</v>
      </c>
    </row>
    <row r="773" ht="15" customHeight="1" spans="1:5" x14ac:dyDescent="0.25">
      <c r="A773">
        <v>1</v>
      </c>
      <c r="B773" t="str">
        <f>LEFT(Table_clallam_Oversight_ActiveFunds[[#This Row],[Agency]],3)</f>
        <v>477</v>
      </c>
      <c r="C773" t="s">
        <v>1491</v>
      </c>
      <c r="D773" t="s">
        <v>1336</v>
      </c>
      <c r="E773" t="str">
        <f>LEFT(Table_clallam_Oversight_ActiveFunds[[#This Row],[Fund]],5)</f>
        <v>217-1</v>
      </c>
    </row>
    <row r="774" ht="15" customHeight="1" spans="1:5" x14ac:dyDescent="0.25">
      <c r="A774">
        <v>1</v>
      </c>
      <c r="B774" t="str">
        <f>LEFT(Table_clallam_Oversight_ActiveFunds[[#This Row],[Agency]],3)</f>
        <v>477</v>
      </c>
      <c r="C774" t="s">
        <v>1491</v>
      </c>
      <c r="D774" t="s">
        <v>1349</v>
      </c>
      <c r="E774" t="str">
        <f>LEFT(Table_clallam_Oversight_ActiveFunds[[#This Row],[Fund]],5)</f>
        <v>21S-1</v>
      </c>
    </row>
    <row r="775" ht="15" customHeight="1" spans="1:5" x14ac:dyDescent="0.25">
      <c r="A775">
        <v>1</v>
      </c>
      <c r="B775" t="str">
        <f>LEFT(Table_clallam_Oversight_ActiveFunds[[#This Row],[Agency]],3)</f>
        <v>477</v>
      </c>
      <c r="C775" t="s">
        <v>1491</v>
      </c>
      <c r="D775" t="s">
        <v>1356</v>
      </c>
      <c r="E775" t="str">
        <f>LEFT(Table_clallam_Oversight_ActiveFunds[[#This Row],[Fund]],5)</f>
        <v>22N-6</v>
      </c>
    </row>
    <row r="776" ht="15" customHeight="1" spans="1:5" x14ac:dyDescent="0.25">
      <c r="A776">
        <v>1</v>
      </c>
      <c r="B776" t="str">
        <f>LEFT(Table_clallam_Oversight_ActiveFunds[[#This Row],[Agency]],3)</f>
        <v>477</v>
      </c>
      <c r="C776" t="s">
        <v>1491</v>
      </c>
      <c r="D776" t="s">
        <v>1283</v>
      </c>
      <c r="E776" t="str">
        <f>LEFT(Table_clallam_Oversight_ActiveFunds[[#This Row],[Fund]],5)</f>
        <v>23P-1</v>
      </c>
    </row>
    <row r="777" ht="15" customHeight="1" spans="1:5" x14ac:dyDescent="0.25">
      <c r="A777">
        <v>1</v>
      </c>
      <c r="B777" t="str">
        <f>LEFT(Table_clallam_Oversight_ActiveFunds[[#This Row],[Agency]],3)</f>
        <v>477</v>
      </c>
      <c r="C777" t="s">
        <v>1491</v>
      </c>
      <c r="D777" t="s">
        <v>1378</v>
      </c>
      <c r="E777" t="str">
        <f>LEFT(Table_clallam_Oversight_ActiveFunds[[#This Row],[Fund]],5)</f>
        <v>24N-1</v>
      </c>
    </row>
    <row r="778" ht="15" customHeight="1" spans="1:5" x14ac:dyDescent="0.25">
      <c r="A778">
        <v>1</v>
      </c>
      <c r="B778" t="str">
        <f>LEFT(Table_clallam_Oversight_ActiveFunds[[#This Row],[Agency]],3)</f>
        <v>477</v>
      </c>
      <c r="C778" t="s">
        <v>1491</v>
      </c>
      <c r="D778" t="s">
        <v>1381</v>
      </c>
      <c r="E778" t="str">
        <f>LEFT(Table_clallam_Oversight_ActiveFunds[[#This Row],[Fund]],5)</f>
        <v>259-6</v>
      </c>
    </row>
    <row r="779" ht="15" customHeight="1" spans="1:5" x14ac:dyDescent="0.25">
      <c r="A779">
        <v>1</v>
      </c>
      <c r="B779" t="str">
        <f>LEFT(Table_clallam_Oversight_ActiveFunds[[#This Row],[Agency]],3)</f>
        <v>477</v>
      </c>
      <c r="C779" t="s">
        <v>1491</v>
      </c>
      <c r="D779" t="s">
        <v>1416</v>
      </c>
      <c r="E779" t="str">
        <f>LEFT(Table_clallam_Oversight_ActiveFunds[[#This Row],[Fund]],5)</f>
        <v>320-6</v>
      </c>
    </row>
    <row r="780" ht="15" customHeight="1" spans="1:5" x14ac:dyDescent="0.25">
      <c r="A780">
        <v>1</v>
      </c>
      <c r="B780" t="str">
        <f>LEFT(Table_clallam_Oversight_ActiveFunds[[#This Row],[Agency]],3)</f>
        <v>477</v>
      </c>
      <c r="C780" t="s">
        <v>1491</v>
      </c>
      <c r="D780" t="s">
        <v>1424</v>
      </c>
      <c r="E780" t="str">
        <f>LEFT(Table_clallam_Oversight_ActiveFunds[[#This Row],[Fund]],5)</f>
        <v>444-6</v>
      </c>
    </row>
    <row r="781" ht="15" customHeight="1" spans="1:5" x14ac:dyDescent="0.25">
      <c r="A781">
        <v>1</v>
      </c>
      <c r="B781" t="str">
        <f>LEFT(Table_clallam_Oversight_ActiveFunds[[#This Row],[Agency]],3)</f>
        <v>477</v>
      </c>
      <c r="C781" t="s">
        <v>1491</v>
      </c>
      <c r="D781" t="s">
        <v>1437</v>
      </c>
      <c r="E781" t="str">
        <f>LEFT(Table_clallam_Oversight_ActiveFunds[[#This Row],[Fund]],5)</f>
        <v>507-1</v>
      </c>
    </row>
    <row r="782" ht="15" customHeight="1" spans="1:5" x14ac:dyDescent="0.25">
      <c r="A782">
        <v>1</v>
      </c>
      <c r="B782" t="str">
        <f>LEFT(Table_clallam_Oversight_ActiveFunds[[#This Row],[Agency]],3)</f>
        <v>477</v>
      </c>
      <c r="C782" t="s">
        <v>1491</v>
      </c>
      <c r="D782" t="s">
        <v>699</v>
      </c>
      <c r="E782" t="str">
        <f>LEFT(Table_clallam_Oversight_ActiveFunds[[#This Row],[Fund]],5)</f>
        <v>108-1</v>
      </c>
    </row>
    <row r="783" ht="15" customHeight="1" spans="1:5" x14ac:dyDescent="0.25">
      <c r="A783">
        <v>1</v>
      </c>
      <c r="B783" t="str">
        <f>LEFT(Table_clallam_Oversight_ActiveFunds[[#This Row],[Agency]],3)</f>
        <v>478</v>
      </c>
      <c r="C783" t="s">
        <v>1492</v>
      </c>
      <c r="D783" t="s">
        <v>28</v>
      </c>
      <c r="E783" t="str">
        <f>LEFT(Table_clallam_Oversight_ActiveFunds[[#This Row],[Fund]],5)</f>
        <v>001-1</v>
      </c>
    </row>
    <row r="784" ht="15" customHeight="1" spans="1:5" x14ac:dyDescent="0.25">
      <c r="A784">
        <v>1</v>
      </c>
      <c r="B784" t="str">
        <f>LEFT(Table_clallam_Oversight_ActiveFunds[[#This Row],[Agency]],3)</f>
        <v>478</v>
      </c>
      <c r="C784" t="s">
        <v>1492</v>
      </c>
      <c r="D784" t="s">
        <v>144</v>
      </c>
      <c r="E784" t="str">
        <f>LEFT(Table_clallam_Oversight_ActiveFunds[[#This Row],[Fund]],5)</f>
        <v>001-2</v>
      </c>
    </row>
    <row r="785" ht="15" customHeight="1" spans="1:5" x14ac:dyDescent="0.25">
      <c r="A785">
        <v>1</v>
      </c>
      <c r="B785" t="str">
        <f>LEFT(Table_clallam_Oversight_ActiveFunds[[#This Row],[Agency]],3)</f>
        <v>478</v>
      </c>
      <c r="C785" t="s">
        <v>1492</v>
      </c>
      <c r="D785" t="s">
        <v>855</v>
      </c>
      <c r="E785" t="str">
        <f>LEFT(Table_clallam_Oversight_ActiveFunds[[#This Row],[Fund]],5)</f>
        <v>02R-1</v>
      </c>
    </row>
    <row r="786" ht="15" customHeight="1" spans="1:5" x14ac:dyDescent="0.25">
      <c r="A786">
        <v>1</v>
      </c>
      <c r="B786" t="str">
        <f>LEFT(Table_clallam_Oversight_ActiveFunds[[#This Row],[Agency]],3)</f>
        <v>478</v>
      </c>
      <c r="C786" t="s">
        <v>1492</v>
      </c>
      <c r="D786" t="s">
        <v>1283</v>
      </c>
      <c r="E786" t="str">
        <f>LEFT(Table_clallam_Oversight_ActiveFunds[[#This Row],[Fund]],5)</f>
        <v>23P-1</v>
      </c>
    </row>
    <row r="787" ht="15" customHeight="1" spans="1:5" x14ac:dyDescent="0.25">
      <c r="A787">
        <v>1</v>
      </c>
      <c r="B787" t="str">
        <f>LEFT(Table_clallam_Oversight_ActiveFunds[[#This Row],[Agency]],3)</f>
        <v>490</v>
      </c>
      <c r="C787" t="s">
        <v>602</v>
      </c>
      <c r="D787" t="s">
        <v>28</v>
      </c>
      <c r="E787" t="str">
        <f>LEFT(Table_clallam_Oversight_ActiveFunds[[#This Row],[Fund]],5)</f>
        <v>001-1</v>
      </c>
    </row>
    <row r="788" ht="15" customHeight="1" spans="1:5" x14ac:dyDescent="0.25">
      <c r="A788">
        <v>1</v>
      </c>
      <c r="B788" t="str">
        <f>LEFT(Table_clallam_Oversight_ActiveFunds[[#This Row],[Agency]],3)</f>
        <v>490</v>
      </c>
      <c r="C788" t="s">
        <v>602</v>
      </c>
      <c r="D788" t="s">
        <v>144</v>
      </c>
      <c r="E788" t="str">
        <f>LEFT(Table_clallam_Oversight_ActiveFunds[[#This Row],[Fund]],5)</f>
        <v>001-2</v>
      </c>
    </row>
    <row r="789" ht="15" customHeight="1" spans="1:5" x14ac:dyDescent="0.25">
      <c r="A789">
        <v>1</v>
      </c>
      <c r="B789" t="str">
        <f>LEFT(Table_clallam_Oversight_ActiveFunds[[#This Row],[Agency]],3)</f>
        <v>490</v>
      </c>
      <c r="C789" t="s">
        <v>602</v>
      </c>
      <c r="D789" t="s">
        <v>712</v>
      </c>
      <c r="E789" t="str">
        <f>LEFT(Table_clallam_Oversight_ActiveFunds[[#This Row],[Fund]],5)</f>
        <v>001-7</v>
      </c>
    </row>
    <row r="790" ht="15" customHeight="1" spans="1:5" x14ac:dyDescent="0.25">
      <c r="A790">
        <v>1</v>
      </c>
      <c r="B790" t="str">
        <f>LEFT(Table_clallam_Oversight_ActiveFunds[[#This Row],[Agency]],3)</f>
        <v>490</v>
      </c>
      <c r="C790" t="s">
        <v>602</v>
      </c>
      <c r="D790" t="s">
        <v>784</v>
      </c>
      <c r="E790" t="str">
        <f>LEFT(Table_clallam_Oversight_ActiveFunds[[#This Row],[Fund]],5)</f>
        <v>014-1</v>
      </c>
    </row>
    <row r="791" ht="15" customHeight="1" spans="1:5" x14ac:dyDescent="0.25">
      <c r="A791">
        <v>1</v>
      </c>
      <c r="B791" t="str">
        <f>LEFT(Table_clallam_Oversight_ActiveFunds[[#This Row],[Agency]],3)</f>
        <v>490</v>
      </c>
      <c r="C791" t="s">
        <v>602</v>
      </c>
      <c r="D791" t="s">
        <v>794</v>
      </c>
      <c r="E791" t="str">
        <f>LEFT(Table_clallam_Oversight_ActiveFunds[[#This Row],[Fund]],5)</f>
        <v>01B-1</v>
      </c>
    </row>
    <row r="792" ht="15" customHeight="1" spans="1:5" x14ac:dyDescent="0.25">
      <c r="A792">
        <v>1</v>
      </c>
      <c r="B792" t="str">
        <f>LEFT(Table_clallam_Oversight_ActiveFunds[[#This Row],[Agency]],3)</f>
        <v>490</v>
      </c>
      <c r="C792" t="s">
        <v>602</v>
      </c>
      <c r="D792" t="s">
        <v>825</v>
      </c>
      <c r="E792" t="str">
        <f>LEFT(Table_clallam_Oversight_ActiveFunds[[#This Row],[Fund]],5)</f>
        <v>02A-1</v>
      </c>
    </row>
    <row r="793" ht="15" customHeight="1" spans="1:5" x14ac:dyDescent="0.25">
      <c r="A793">
        <v>1</v>
      </c>
      <c r="B793" t="str">
        <f>LEFT(Table_clallam_Oversight_ActiveFunds[[#This Row],[Agency]],3)</f>
        <v>490</v>
      </c>
      <c r="C793" t="s">
        <v>602</v>
      </c>
      <c r="D793" t="s">
        <v>855</v>
      </c>
      <c r="E793" t="str">
        <f>LEFT(Table_clallam_Oversight_ActiveFunds[[#This Row],[Fund]],5)</f>
        <v>02R-1</v>
      </c>
    </row>
    <row r="794" ht="15" customHeight="1" spans="1:5" x14ac:dyDescent="0.25">
      <c r="A794">
        <v>1</v>
      </c>
      <c r="B794" t="str">
        <f>LEFT(Table_clallam_Oversight_ActiveFunds[[#This Row],[Agency]],3)</f>
        <v>490</v>
      </c>
      <c r="C794" t="s">
        <v>602</v>
      </c>
      <c r="D794" t="s">
        <v>862</v>
      </c>
      <c r="E794" t="str">
        <f>LEFT(Table_clallam_Oversight_ActiveFunds[[#This Row],[Fund]],5)</f>
        <v>030-6</v>
      </c>
    </row>
    <row r="795" ht="15" customHeight="1" spans="1:5" x14ac:dyDescent="0.25">
      <c r="A795">
        <v>1</v>
      </c>
      <c r="B795" t="str">
        <f>LEFT(Table_clallam_Oversight_ActiveFunds[[#This Row],[Agency]],3)</f>
        <v>490</v>
      </c>
      <c r="C795" t="s">
        <v>602</v>
      </c>
      <c r="D795" t="s">
        <v>927</v>
      </c>
      <c r="E795" t="str">
        <f>LEFT(Table_clallam_Oversight_ActiveFunds[[#This Row],[Fund]],5)</f>
        <v>041-1</v>
      </c>
    </row>
    <row r="796" ht="15" customHeight="1" spans="1:5" x14ac:dyDescent="0.25">
      <c r="A796">
        <v>1</v>
      </c>
      <c r="B796" t="str">
        <f>LEFT(Table_clallam_Oversight_ActiveFunds[[#This Row],[Agency]],3)</f>
        <v>490</v>
      </c>
      <c r="C796" t="s">
        <v>602</v>
      </c>
      <c r="D796" t="s">
        <v>963</v>
      </c>
      <c r="E796" t="str">
        <f>LEFT(Table_clallam_Oversight_ActiveFunds[[#This Row],[Fund]],5)</f>
        <v>04H-1</v>
      </c>
    </row>
    <row r="797" ht="15" customHeight="1" spans="1:5" x14ac:dyDescent="0.25">
      <c r="A797">
        <v>1</v>
      </c>
      <c r="B797" t="str">
        <f>LEFT(Table_clallam_Oversight_ActiveFunds[[#This Row],[Agency]],3)</f>
        <v>490</v>
      </c>
      <c r="C797" t="s">
        <v>602</v>
      </c>
      <c r="D797" t="s">
        <v>997</v>
      </c>
      <c r="E797" t="str">
        <f>LEFT(Table_clallam_Oversight_ActiveFunds[[#This Row],[Fund]],5)</f>
        <v>05H-1</v>
      </c>
    </row>
    <row r="798" ht="15" customHeight="1" spans="1:5" x14ac:dyDescent="0.25">
      <c r="A798">
        <v>1</v>
      </c>
      <c r="B798" t="str">
        <f>LEFT(Table_clallam_Oversight_ActiveFunds[[#This Row],[Agency]],3)</f>
        <v>490</v>
      </c>
      <c r="C798" t="s">
        <v>602</v>
      </c>
      <c r="D798" t="s">
        <v>1025</v>
      </c>
      <c r="E798" t="str">
        <f>LEFT(Table_clallam_Oversight_ActiveFunds[[#This Row],[Fund]],5)</f>
        <v>06A-1</v>
      </c>
    </row>
    <row r="799" ht="15" customHeight="1" spans="1:5" x14ac:dyDescent="0.25">
      <c r="A799">
        <v>1</v>
      </c>
      <c r="B799" t="str">
        <f>LEFT(Table_clallam_Oversight_ActiveFunds[[#This Row],[Agency]],3)</f>
        <v>490</v>
      </c>
      <c r="C799" t="s">
        <v>602</v>
      </c>
      <c r="D799" t="s">
        <v>1052</v>
      </c>
      <c r="E799" t="str">
        <f>LEFT(Table_clallam_Oversight_ActiveFunds[[#This Row],[Fund]],5)</f>
        <v>07E-1</v>
      </c>
    </row>
    <row r="800" ht="15" customHeight="1" spans="1:5" x14ac:dyDescent="0.25">
      <c r="A800">
        <v>1</v>
      </c>
      <c r="B800" t="str">
        <f>LEFT(Table_clallam_Oversight_ActiveFunds[[#This Row],[Agency]],3)</f>
        <v>490</v>
      </c>
      <c r="C800" t="s">
        <v>602</v>
      </c>
      <c r="D800" t="s">
        <v>1054</v>
      </c>
      <c r="E800" t="str">
        <f>LEFT(Table_clallam_Oversight_ActiveFunds[[#This Row],[Fund]],5)</f>
        <v>07E-6</v>
      </c>
    </row>
    <row r="801" ht="15" customHeight="1" spans="1:5" x14ac:dyDescent="0.25">
      <c r="A801">
        <v>1</v>
      </c>
      <c r="B801" t="str">
        <f>LEFT(Table_clallam_Oversight_ActiveFunds[[#This Row],[Agency]],3)</f>
        <v>490</v>
      </c>
      <c r="C801" t="s">
        <v>602</v>
      </c>
      <c r="D801" t="s">
        <v>1081</v>
      </c>
      <c r="E801" t="str">
        <f>LEFT(Table_clallam_Oversight_ActiveFunds[[#This Row],[Fund]],5)</f>
        <v>087-6</v>
      </c>
    </row>
    <row r="802" ht="15" customHeight="1" spans="1:5" x14ac:dyDescent="0.25">
      <c r="A802">
        <v>1</v>
      </c>
      <c r="B802" t="str">
        <f>LEFT(Table_clallam_Oversight_ActiveFunds[[#This Row],[Agency]],3)</f>
        <v>490</v>
      </c>
      <c r="C802" t="s">
        <v>602</v>
      </c>
      <c r="D802" t="s">
        <v>1168</v>
      </c>
      <c r="E802" t="str">
        <f>LEFT(Table_clallam_Oversight_ActiveFunds[[#This Row],[Fund]],5)</f>
        <v>11H-1</v>
      </c>
    </row>
    <row r="803" ht="15" customHeight="1" spans="1:5" x14ac:dyDescent="0.25">
      <c r="A803">
        <v>1</v>
      </c>
      <c r="B803" t="str">
        <f>LEFT(Table_clallam_Oversight_ActiveFunds[[#This Row],[Agency]],3)</f>
        <v>490</v>
      </c>
      <c r="C803" t="s">
        <v>602</v>
      </c>
      <c r="D803" t="s">
        <v>1213</v>
      </c>
      <c r="E803" t="str">
        <f>LEFT(Table_clallam_Oversight_ActiveFunds[[#This Row],[Fund]],5)</f>
        <v>158-1</v>
      </c>
    </row>
    <row r="804" ht="15" customHeight="1" spans="1:5" x14ac:dyDescent="0.25">
      <c r="A804">
        <v>1</v>
      </c>
      <c r="B804" t="str">
        <f>LEFT(Table_clallam_Oversight_ActiveFunds[[#This Row],[Agency]],3)</f>
        <v>490</v>
      </c>
      <c r="C804" t="s">
        <v>602</v>
      </c>
      <c r="D804" t="s">
        <v>1225</v>
      </c>
      <c r="E804" t="str">
        <f>LEFT(Table_clallam_Oversight_ActiveFunds[[#This Row],[Fund]],5)</f>
        <v>167-1</v>
      </c>
    </row>
    <row r="805" ht="15" customHeight="1" spans="1:5" x14ac:dyDescent="0.25">
      <c r="A805">
        <v>1</v>
      </c>
      <c r="B805" t="str">
        <f>LEFT(Table_clallam_Oversight_ActiveFunds[[#This Row],[Agency]],3)</f>
        <v>490</v>
      </c>
      <c r="C805" t="s">
        <v>602</v>
      </c>
      <c r="D805" t="s">
        <v>1279</v>
      </c>
      <c r="E805" t="str">
        <f>LEFT(Table_clallam_Oversight_ActiveFunds[[#This Row],[Fund]],5)</f>
        <v>190-1</v>
      </c>
    </row>
    <row r="806" ht="15" customHeight="1" spans="1:5" x14ac:dyDescent="0.25">
      <c r="A806">
        <v>1</v>
      </c>
      <c r="B806" t="str">
        <f>LEFT(Table_clallam_Oversight_ActiveFunds[[#This Row],[Agency]],3)</f>
        <v>490</v>
      </c>
      <c r="C806" t="s">
        <v>602</v>
      </c>
      <c r="D806" t="s">
        <v>1280</v>
      </c>
      <c r="E806" t="str">
        <f>LEFT(Table_clallam_Oversight_ActiveFunds[[#This Row],[Fund]],5)</f>
        <v>190-6</v>
      </c>
    </row>
    <row r="807" ht="15" customHeight="1" spans="1:5" x14ac:dyDescent="0.25">
      <c r="A807">
        <v>1</v>
      </c>
      <c r="B807" t="str">
        <f>LEFT(Table_clallam_Oversight_ActiveFunds[[#This Row],[Agency]],3)</f>
        <v>490</v>
      </c>
      <c r="C807" t="s">
        <v>602</v>
      </c>
      <c r="D807" t="s">
        <v>1282</v>
      </c>
      <c r="E807" t="str">
        <f>LEFT(Table_clallam_Oversight_ActiveFunds[[#This Row],[Fund]],5)</f>
        <v>193-1</v>
      </c>
    </row>
    <row r="808" ht="15" customHeight="1" spans="1:5" x14ac:dyDescent="0.25">
      <c r="A808">
        <v>1</v>
      </c>
      <c r="B808" t="str">
        <f>LEFT(Table_clallam_Oversight_ActiveFunds[[#This Row],[Agency]],3)</f>
        <v>490</v>
      </c>
      <c r="C808" t="s">
        <v>602</v>
      </c>
      <c r="D808" t="s">
        <v>1284</v>
      </c>
      <c r="E808" t="str">
        <f>LEFT(Table_clallam_Oversight_ActiveFunds[[#This Row],[Fund]],5)</f>
        <v>193-6</v>
      </c>
    </row>
    <row r="809" ht="15" customHeight="1" spans="1:5" x14ac:dyDescent="0.25">
      <c r="A809">
        <v>1</v>
      </c>
      <c r="B809" t="str">
        <f>LEFT(Table_clallam_Oversight_ActiveFunds[[#This Row],[Agency]],3)</f>
        <v>490</v>
      </c>
      <c r="C809" t="s">
        <v>602</v>
      </c>
      <c r="D809" t="s">
        <v>1288</v>
      </c>
      <c r="E809" t="str">
        <f>LEFT(Table_clallam_Oversight_ActiveFunds[[#This Row],[Fund]],5)</f>
        <v>198-1</v>
      </c>
    </row>
    <row r="810" ht="15" customHeight="1" spans="1:5" x14ac:dyDescent="0.25">
      <c r="A810">
        <v>1</v>
      </c>
      <c r="B810" t="str">
        <f>LEFT(Table_clallam_Oversight_ActiveFunds[[#This Row],[Agency]],3)</f>
        <v>490</v>
      </c>
      <c r="C810" t="s">
        <v>602</v>
      </c>
      <c r="D810" t="s">
        <v>1290</v>
      </c>
      <c r="E810" t="str">
        <f>LEFT(Table_clallam_Oversight_ActiveFunds[[#This Row],[Fund]],5)</f>
        <v>198-6</v>
      </c>
    </row>
    <row r="811" ht="15" customHeight="1" spans="1:5" x14ac:dyDescent="0.25">
      <c r="A811">
        <v>1</v>
      </c>
      <c r="B811" t="str">
        <f>LEFT(Table_clallam_Oversight_ActiveFunds[[#This Row],[Agency]],3)</f>
        <v>490</v>
      </c>
      <c r="C811" t="s">
        <v>602</v>
      </c>
      <c r="D811" t="s">
        <v>1295</v>
      </c>
      <c r="E811" t="str">
        <f>LEFT(Table_clallam_Oversight_ActiveFunds[[#This Row],[Fund]],5)</f>
        <v>19C-1</v>
      </c>
    </row>
    <row r="812" ht="15" customHeight="1" spans="1:5" x14ac:dyDescent="0.25">
      <c r="A812">
        <v>1</v>
      </c>
      <c r="B812" t="str">
        <f>LEFT(Table_clallam_Oversight_ActiveFunds[[#This Row],[Agency]],3)</f>
        <v>490</v>
      </c>
      <c r="C812" t="s">
        <v>602</v>
      </c>
      <c r="D812" t="s">
        <v>1335</v>
      </c>
      <c r="E812" t="str">
        <f>LEFT(Table_clallam_Oversight_ActiveFunds[[#This Row],[Fund]],5)</f>
        <v>216-1</v>
      </c>
    </row>
    <row r="813" ht="15" customHeight="1" spans="1:5" x14ac:dyDescent="0.25">
      <c r="A813">
        <v>1</v>
      </c>
      <c r="B813" t="str">
        <f>LEFT(Table_clallam_Oversight_ActiveFunds[[#This Row],[Agency]],3)</f>
        <v>490</v>
      </c>
      <c r="C813" t="s">
        <v>602</v>
      </c>
      <c r="D813" t="s">
        <v>1347</v>
      </c>
      <c r="E813" t="str">
        <f>LEFT(Table_clallam_Oversight_ActiveFunds[[#This Row],[Fund]],5)</f>
        <v>21Q-1</v>
      </c>
    </row>
    <row r="814" ht="15" customHeight="1" spans="1:5" x14ac:dyDescent="0.25">
      <c r="A814">
        <v>1</v>
      </c>
      <c r="B814" t="str">
        <f>LEFT(Table_clallam_Oversight_ActiveFunds[[#This Row],[Agency]],3)</f>
        <v>490</v>
      </c>
      <c r="C814" t="s">
        <v>602</v>
      </c>
      <c r="D814" t="s">
        <v>1348</v>
      </c>
      <c r="E814" t="str">
        <f>LEFT(Table_clallam_Oversight_ActiveFunds[[#This Row],[Fund]],5)</f>
        <v>21Q-6</v>
      </c>
    </row>
    <row r="815" ht="15" customHeight="1" spans="1:5" x14ac:dyDescent="0.25">
      <c r="A815">
        <v>1</v>
      </c>
      <c r="B815" t="str">
        <f>LEFT(Table_clallam_Oversight_ActiveFunds[[#This Row],[Agency]],3)</f>
        <v>490</v>
      </c>
      <c r="C815" t="s">
        <v>602</v>
      </c>
      <c r="D815" t="s">
        <v>1357</v>
      </c>
      <c r="E815" t="str">
        <f>LEFT(Table_clallam_Oversight_ActiveFunds[[#This Row],[Fund]],5)</f>
        <v>22P-1</v>
      </c>
    </row>
    <row r="816" ht="15" customHeight="1" spans="1:5" x14ac:dyDescent="0.25">
      <c r="A816">
        <v>1</v>
      </c>
      <c r="B816" t="str">
        <f>LEFT(Table_clallam_Oversight_ActiveFunds[[#This Row],[Agency]],3)</f>
        <v>490</v>
      </c>
      <c r="C816" t="s">
        <v>602</v>
      </c>
      <c r="D816" t="s">
        <v>1358</v>
      </c>
      <c r="E816" t="str">
        <f>LEFT(Table_clallam_Oversight_ActiveFunds[[#This Row],[Fund]],5)</f>
        <v>22P-6</v>
      </c>
    </row>
    <row r="817" ht="15" customHeight="1" spans="1:5" x14ac:dyDescent="0.25">
      <c r="A817">
        <v>1</v>
      </c>
      <c r="B817" t="str">
        <f>LEFT(Table_clallam_Oversight_ActiveFunds[[#This Row],[Agency]],3)</f>
        <v>490</v>
      </c>
      <c r="C817" t="s">
        <v>602</v>
      </c>
      <c r="D817" t="s">
        <v>1283</v>
      </c>
      <c r="E817" t="str">
        <f>LEFT(Table_clallam_Oversight_ActiveFunds[[#This Row],[Fund]],5)</f>
        <v>23P-1</v>
      </c>
    </row>
    <row r="818" ht="15" customHeight="1" spans="1:5" x14ac:dyDescent="0.25">
      <c r="A818">
        <v>1</v>
      </c>
      <c r="B818" t="str">
        <f>LEFT(Table_clallam_Oversight_ActiveFunds[[#This Row],[Agency]],3)</f>
        <v>490</v>
      </c>
      <c r="C818" t="s">
        <v>602</v>
      </c>
      <c r="D818" t="s">
        <v>1387</v>
      </c>
      <c r="E818" t="str">
        <f>LEFT(Table_clallam_Oversight_ActiveFunds[[#This Row],[Fund]],5)</f>
        <v>25P-1</v>
      </c>
    </row>
    <row r="819" ht="15" customHeight="1" spans="1:5" x14ac:dyDescent="0.25">
      <c r="A819">
        <v>1</v>
      </c>
      <c r="B819" t="str">
        <f>LEFT(Table_clallam_Oversight_ActiveFunds[[#This Row],[Agency]],3)</f>
        <v>490</v>
      </c>
      <c r="C819" t="s">
        <v>602</v>
      </c>
      <c r="D819" t="s">
        <v>1394</v>
      </c>
      <c r="E819" t="str">
        <f>LEFT(Table_clallam_Oversight_ActiveFunds[[#This Row],[Fund]],5)</f>
        <v>268-1</v>
      </c>
    </row>
    <row r="820" ht="15" customHeight="1" spans="1:5" x14ac:dyDescent="0.25">
      <c r="A820">
        <v>1</v>
      </c>
      <c r="B820" t="str">
        <f>LEFT(Table_clallam_Oversight_ActiveFunds[[#This Row],[Agency]],3)</f>
        <v>490</v>
      </c>
      <c r="C820" t="s">
        <v>602</v>
      </c>
      <c r="D820" t="s">
        <v>1417</v>
      </c>
      <c r="E820" t="str">
        <f>LEFT(Table_clallam_Oversight_ActiveFunds[[#This Row],[Fund]],5)</f>
        <v>513-1</v>
      </c>
    </row>
    <row r="821" ht="15" customHeight="1" spans="1:5" x14ac:dyDescent="0.25">
      <c r="A821">
        <v>1</v>
      </c>
      <c r="B821" t="str">
        <f>LEFT(Table_clallam_Oversight_ActiveFunds[[#This Row],[Agency]],3)</f>
        <v>490</v>
      </c>
      <c r="C821" t="s">
        <v>602</v>
      </c>
      <c r="D821" t="s">
        <v>1447</v>
      </c>
      <c r="E821" t="str">
        <f>LEFT(Table_clallam_Oversight_ActiveFunds[[#This Row],[Fund]],5)</f>
        <v>566-1</v>
      </c>
    </row>
    <row r="822" ht="15" customHeight="1" spans="1:5" x14ac:dyDescent="0.25">
      <c r="A822">
        <v>1</v>
      </c>
      <c r="B822" t="str">
        <f>LEFT(Table_clallam_Oversight_ActiveFunds[[#This Row],[Agency]],3)</f>
        <v>490</v>
      </c>
      <c r="C822" t="s">
        <v>602</v>
      </c>
      <c r="D822" t="s">
        <v>1459</v>
      </c>
      <c r="E822" t="str">
        <f>LEFT(Table_clallam_Oversight_ActiveFunds[[#This Row],[Fund]],5)</f>
        <v>830-1</v>
      </c>
    </row>
    <row r="823" ht="15" customHeight="1" spans="1:5" x14ac:dyDescent="0.25">
      <c r="A823">
        <v>1</v>
      </c>
      <c r="B823" t="str">
        <f>LEFT(Table_clallam_Oversight_ActiveFunds[[#This Row],[Agency]],3)</f>
        <v>495</v>
      </c>
      <c r="C823" t="s">
        <v>1493</v>
      </c>
      <c r="D823" t="s">
        <v>28</v>
      </c>
      <c r="E823" t="str">
        <f>LEFT(Table_clallam_Oversight_ActiveFunds[[#This Row],[Fund]],5)</f>
        <v>001-1</v>
      </c>
    </row>
    <row r="824" ht="15" customHeight="1" spans="1:5" x14ac:dyDescent="0.25">
      <c r="A824">
        <v>1</v>
      </c>
      <c r="B824" t="str">
        <f>LEFT(Table_clallam_Oversight_ActiveFunds[[#This Row],[Agency]],3)</f>
        <v>495</v>
      </c>
      <c r="C824" t="s">
        <v>1493</v>
      </c>
      <c r="D824" t="s">
        <v>144</v>
      </c>
      <c r="E824" t="str">
        <f>LEFT(Table_clallam_Oversight_ActiveFunds[[#This Row],[Fund]],5)</f>
        <v>001-2</v>
      </c>
    </row>
    <row r="825" ht="15" customHeight="1" spans="1:5" x14ac:dyDescent="0.25">
      <c r="A825">
        <v>1</v>
      </c>
      <c r="B825" t="str">
        <f>LEFT(Table_clallam_Oversight_ActiveFunds[[#This Row],[Agency]],3)</f>
        <v>495</v>
      </c>
      <c r="C825" t="s">
        <v>1493</v>
      </c>
      <c r="D825" t="s">
        <v>712</v>
      </c>
      <c r="E825" t="str">
        <f>LEFT(Table_clallam_Oversight_ActiveFunds[[#This Row],[Fund]],5)</f>
        <v>001-7</v>
      </c>
    </row>
    <row r="826" ht="15" customHeight="1" spans="1:5" x14ac:dyDescent="0.25">
      <c r="A826">
        <v>1</v>
      </c>
      <c r="B826" t="str">
        <f>LEFT(Table_clallam_Oversight_ActiveFunds[[#This Row],[Agency]],3)</f>
        <v>495</v>
      </c>
      <c r="C826" t="s">
        <v>1493</v>
      </c>
      <c r="D826" t="s">
        <v>748</v>
      </c>
      <c r="E826" t="str">
        <f>LEFT(Table_clallam_Oversight_ActiveFunds[[#This Row],[Fund]],5)</f>
        <v>001-X</v>
      </c>
    </row>
    <row r="827" ht="15" customHeight="1" spans="1:5" x14ac:dyDescent="0.25">
      <c r="A827">
        <v>1</v>
      </c>
      <c r="B827" t="str">
        <f>LEFT(Table_clallam_Oversight_ActiveFunds[[#This Row],[Agency]],3)</f>
        <v>495</v>
      </c>
      <c r="C827" t="s">
        <v>1493</v>
      </c>
      <c r="D827" t="s">
        <v>855</v>
      </c>
      <c r="E827" t="str">
        <f>LEFT(Table_clallam_Oversight_ActiveFunds[[#This Row],[Fund]],5)</f>
        <v>02R-1</v>
      </c>
    </row>
    <row r="828" ht="15" customHeight="1" spans="1:5" x14ac:dyDescent="0.25">
      <c r="A828">
        <v>1</v>
      </c>
      <c r="B828" t="str">
        <f>LEFT(Table_clallam_Oversight_ActiveFunds[[#This Row],[Agency]],3)</f>
        <v>495</v>
      </c>
      <c r="C828" t="s">
        <v>1493</v>
      </c>
      <c r="D828" t="s">
        <v>1178</v>
      </c>
      <c r="E828" t="str">
        <f>LEFT(Table_clallam_Oversight_ActiveFunds[[#This Row],[Fund]],5)</f>
        <v>126-6</v>
      </c>
    </row>
    <row r="829" ht="15" customHeight="1" spans="1:5" x14ac:dyDescent="0.25">
      <c r="A829">
        <v>1</v>
      </c>
      <c r="B829" t="str">
        <f>LEFT(Table_clallam_Oversight_ActiveFunds[[#This Row],[Agency]],3)</f>
        <v>495</v>
      </c>
      <c r="C829" t="s">
        <v>1493</v>
      </c>
      <c r="D829" t="s">
        <v>1179</v>
      </c>
      <c r="E829" t="str">
        <f>LEFT(Table_clallam_Oversight_ActiveFunds[[#This Row],[Fund]],5)</f>
        <v>128-6</v>
      </c>
    </row>
    <row r="830" ht="15" customHeight="1" spans="1:5" x14ac:dyDescent="0.25">
      <c r="A830">
        <v>1</v>
      </c>
      <c r="B830" t="str">
        <f>LEFT(Table_clallam_Oversight_ActiveFunds[[#This Row],[Agency]],3)</f>
        <v>495</v>
      </c>
      <c r="C830" t="s">
        <v>1493</v>
      </c>
      <c r="D830" t="s">
        <v>1191</v>
      </c>
      <c r="E830" t="str">
        <f>LEFT(Table_clallam_Oversight_ActiveFunds[[#This Row],[Fund]],5)</f>
        <v>131-6</v>
      </c>
    </row>
    <row r="831" ht="15" customHeight="1" spans="1:5" x14ac:dyDescent="0.25">
      <c r="A831">
        <v>1</v>
      </c>
      <c r="B831" t="str">
        <f>LEFT(Table_clallam_Oversight_ActiveFunds[[#This Row],[Agency]],3)</f>
        <v>495</v>
      </c>
      <c r="C831" t="s">
        <v>1493</v>
      </c>
      <c r="D831" t="s">
        <v>1250</v>
      </c>
      <c r="E831" t="str">
        <f>LEFT(Table_clallam_Oversight_ActiveFunds[[#This Row],[Fund]],5)</f>
        <v>176-1</v>
      </c>
    </row>
    <row r="832" ht="15" customHeight="1" spans="1:5" x14ac:dyDescent="0.25">
      <c r="A832">
        <v>1</v>
      </c>
      <c r="B832" t="str">
        <f>LEFT(Table_clallam_Oversight_ActiveFunds[[#This Row],[Agency]],3)</f>
        <v>495</v>
      </c>
      <c r="C832" t="s">
        <v>1493</v>
      </c>
      <c r="D832" t="s">
        <v>1346</v>
      </c>
      <c r="E832" t="str">
        <f>LEFT(Table_clallam_Oversight_ActiveFunds[[#This Row],[Fund]],5)</f>
        <v>21N-1</v>
      </c>
    </row>
    <row r="833" ht="15" customHeight="1" spans="1:5" x14ac:dyDescent="0.25">
      <c r="A833">
        <v>1</v>
      </c>
      <c r="B833" t="str">
        <f>LEFT(Table_clallam_Oversight_ActiveFunds[[#This Row],[Agency]],3)</f>
        <v>495</v>
      </c>
      <c r="C833" t="s">
        <v>1493</v>
      </c>
      <c r="D833" t="s">
        <v>1283</v>
      </c>
      <c r="E833" t="str">
        <f>LEFT(Table_clallam_Oversight_ActiveFunds[[#This Row],[Fund]],5)</f>
        <v>23P-1</v>
      </c>
    </row>
    <row r="834" ht="15" customHeight="1" spans="1:5" x14ac:dyDescent="0.25">
      <c r="A834">
        <v>1</v>
      </c>
      <c r="B834" t="str">
        <f>LEFT(Table_clallam_Oversight_ActiveFunds[[#This Row],[Agency]],3)</f>
        <v>495</v>
      </c>
      <c r="C834" t="s">
        <v>1493</v>
      </c>
      <c r="D834" t="s">
        <v>1376</v>
      </c>
      <c r="E834" t="str">
        <f>LEFT(Table_clallam_Oversight_ActiveFunds[[#This Row],[Fund]],5)</f>
        <v>24G-6</v>
      </c>
    </row>
    <row r="835" ht="15" customHeight="1" spans="1:5" x14ac:dyDescent="0.25">
      <c r="A835">
        <v>1</v>
      </c>
      <c r="B835" t="str">
        <f>LEFT(Table_clallam_Oversight_ActiveFunds[[#This Row],[Agency]],3)</f>
        <v>495</v>
      </c>
      <c r="C835" t="s">
        <v>1493</v>
      </c>
      <c r="D835" t="s">
        <v>1153</v>
      </c>
      <c r="E835" t="str">
        <f>LEFT(Table_clallam_Oversight_ActiveFunds[[#This Row],[Fund]],5)</f>
        <v>315-1</v>
      </c>
    </row>
    <row r="836" ht="15" customHeight="1" spans="1:5" x14ac:dyDescent="0.25">
      <c r="A836">
        <v>1</v>
      </c>
      <c r="B836" t="str">
        <f>LEFT(Table_clallam_Oversight_ActiveFunds[[#This Row],[Agency]],3)</f>
        <v>495</v>
      </c>
      <c r="C836" t="s">
        <v>1493</v>
      </c>
      <c r="D836" t="s">
        <v>1438</v>
      </c>
      <c r="E836" t="str">
        <f>LEFT(Table_clallam_Oversight_ActiveFunds[[#This Row],[Fund]],5)</f>
        <v>516-6</v>
      </c>
    </row>
    <row r="837" ht="15" customHeight="1" spans="1:5" x14ac:dyDescent="0.25">
      <c r="A837">
        <v>1</v>
      </c>
      <c r="B837" t="str">
        <f>LEFT(Table_clallam_Oversight_ActiveFunds[[#This Row],[Agency]],3)</f>
        <v>495</v>
      </c>
      <c r="C837" t="s">
        <v>1493</v>
      </c>
      <c r="D837" t="s">
        <v>971</v>
      </c>
      <c r="E837" t="str">
        <f>LEFT(Table_clallam_Oversight_ActiveFunds[[#This Row],[Fund]],5)</f>
        <v>706-2</v>
      </c>
    </row>
    <row r="838" ht="15" customHeight="1" spans="1:5" x14ac:dyDescent="0.25">
      <c r="A838">
        <v>1</v>
      </c>
      <c r="B838" t="str">
        <f>LEFT(Table_clallam_Oversight_ActiveFunds[[#This Row],[Agency]],3)</f>
        <v>495</v>
      </c>
      <c r="C838" t="s">
        <v>1493</v>
      </c>
      <c r="D838" t="s">
        <v>1458</v>
      </c>
      <c r="E838" t="str">
        <f>LEFT(Table_clallam_Oversight_ActiveFunds[[#This Row],[Fund]],5)</f>
        <v>823-6</v>
      </c>
    </row>
    <row r="839" ht="15" customHeight="1" spans="1:5" x14ac:dyDescent="0.25">
      <c r="A839">
        <v>1</v>
      </c>
      <c r="B839" t="str">
        <f>LEFT(Table_clallam_Oversight_ActiveFunds[[#This Row],[Agency]],3)</f>
        <v>495</v>
      </c>
      <c r="C839" t="s">
        <v>1493</v>
      </c>
      <c r="D839" t="s">
        <v>699</v>
      </c>
      <c r="E839" t="str">
        <f>LEFT(Table_clallam_Oversight_ActiveFunds[[#This Row],[Fund]],5)</f>
        <v>108-1</v>
      </c>
    </row>
    <row r="840" ht="15" customHeight="1" spans="1:5" x14ac:dyDescent="0.25">
      <c r="A840">
        <v>1</v>
      </c>
      <c r="B840" t="str">
        <f>LEFT(Table_clallam_Oversight_ActiveFunds[[#This Row],[Agency]],3)</f>
        <v>540</v>
      </c>
      <c r="C840" t="s">
        <v>1494</v>
      </c>
      <c r="D840" t="s">
        <v>28</v>
      </c>
      <c r="E840" t="str">
        <f>LEFT(Table_clallam_Oversight_ActiveFunds[[#This Row],[Fund]],5)</f>
        <v>001-1</v>
      </c>
    </row>
    <row r="841" ht="15" customHeight="1" spans="1:5" x14ac:dyDescent="0.25">
      <c r="A841">
        <v>1</v>
      </c>
      <c r="B841" t="str">
        <f>LEFT(Table_clallam_Oversight_ActiveFunds[[#This Row],[Agency]],3)</f>
        <v>540</v>
      </c>
      <c r="C841" t="s">
        <v>1494</v>
      </c>
      <c r="D841" t="s">
        <v>144</v>
      </c>
      <c r="E841" t="str">
        <f>LEFT(Table_clallam_Oversight_ActiveFunds[[#This Row],[Fund]],5)</f>
        <v>001-2</v>
      </c>
    </row>
    <row r="842" ht="15" customHeight="1" spans="1:5" x14ac:dyDescent="0.25">
      <c r="A842">
        <v>1</v>
      </c>
      <c r="B842" t="str">
        <f>LEFT(Table_clallam_Oversight_ActiveFunds[[#This Row],[Agency]],3)</f>
        <v>540</v>
      </c>
      <c r="C842" t="s">
        <v>1494</v>
      </c>
      <c r="D842" t="s">
        <v>712</v>
      </c>
      <c r="E842" t="str">
        <f>LEFT(Table_clallam_Oversight_ActiveFunds[[#This Row],[Fund]],5)</f>
        <v>001-7</v>
      </c>
    </row>
    <row r="843" ht="15" customHeight="1" spans="1:5" x14ac:dyDescent="0.25">
      <c r="A843">
        <v>1</v>
      </c>
      <c r="B843" t="str">
        <f>LEFT(Table_clallam_Oversight_ActiveFunds[[#This Row],[Agency]],3)</f>
        <v>540</v>
      </c>
      <c r="C843" t="s">
        <v>1494</v>
      </c>
      <c r="D843" t="s">
        <v>737</v>
      </c>
      <c r="E843" t="str">
        <f>LEFT(Table_clallam_Oversight_ActiveFunds[[#This Row],[Fund]],5)</f>
        <v>001-H</v>
      </c>
    </row>
    <row r="844" ht="15" customHeight="1" spans="1:5" x14ac:dyDescent="0.25">
      <c r="A844">
        <v>1</v>
      </c>
      <c r="B844" t="str">
        <f>LEFT(Table_clallam_Oversight_ActiveFunds[[#This Row],[Agency]],3)</f>
        <v>540</v>
      </c>
      <c r="C844" t="s">
        <v>1494</v>
      </c>
      <c r="D844" t="s">
        <v>748</v>
      </c>
      <c r="E844" t="str">
        <f>LEFT(Table_clallam_Oversight_ActiveFunds[[#This Row],[Fund]],5)</f>
        <v>001-X</v>
      </c>
    </row>
    <row r="845" ht="15" customHeight="1" spans="1:5" x14ac:dyDescent="0.25">
      <c r="A845">
        <v>1</v>
      </c>
      <c r="B845" t="str">
        <f>LEFT(Table_clallam_Oversight_ActiveFunds[[#This Row],[Agency]],3)</f>
        <v>540</v>
      </c>
      <c r="C845" t="s">
        <v>1494</v>
      </c>
      <c r="D845" t="s">
        <v>1160</v>
      </c>
      <c r="E845" t="str">
        <f>LEFT(Table_clallam_Oversight_ActiveFunds[[#This Row],[Fund]],5)</f>
        <v>119-2</v>
      </c>
    </row>
    <row r="846" ht="15" customHeight="1" spans="1:5" x14ac:dyDescent="0.25">
      <c r="A846">
        <v>1</v>
      </c>
      <c r="B846" t="str">
        <f>LEFT(Table_clallam_Oversight_ActiveFunds[[#This Row],[Agency]],3)</f>
        <v>540</v>
      </c>
      <c r="C846" t="s">
        <v>1494</v>
      </c>
      <c r="D846" t="s">
        <v>1176</v>
      </c>
      <c r="E846" t="str">
        <f>LEFT(Table_clallam_Oversight_ActiveFunds[[#This Row],[Fund]],5)</f>
        <v>120-1</v>
      </c>
    </row>
    <row r="847" ht="15" customHeight="1" spans="1:5" x14ac:dyDescent="0.25">
      <c r="A847">
        <v>1</v>
      </c>
      <c r="B847" t="str">
        <f>LEFT(Table_clallam_Oversight_ActiveFunds[[#This Row],[Agency]],3)</f>
        <v>540</v>
      </c>
      <c r="C847" t="s">
        <v>1494</v>
      </c>
      <c r="D847" t="s">
        <v>1194</v>
      </c>
      <c r="E847" t="str">
        <f>LEFT(Table_clallam_Oversight_ActiveFunds[[#This Row],[Fund]],5)</f>
        <v>134-1</v>
      </c>
    </row>
    <row r="848" ht="15" customHeight="1" spans="1:5" x14ac:dyDescent="0.25">
      <c r="A848">
        <v>1</v>
      </c>
      <c r="B848" t="str">
        <f>LEFT(Table_clallam_Oversight_ActiveFunds[[#This Row],[Agency]],3)</f>
        <v>540</v>
      </c>
      <c r="C848" t="s">
        <v>1494</v>
      </c>
      <c r="D848" t="s">
        <v>1237</v>
      </c>
      <c r="E848" t="str">
        <f>LEFT(Table_clallam_Oversight_ActiveFunds[[#This Row],[Fund]],5)</f>
        <v>16L-6</v>
      </c>
    </row>
    <row r="849" ht="15" customHeight="1" spans="1:5" x14ac:dyDescent="0.25">
      <c r="A849">
        <v>1</v>
      </c>
      <c r="B849" t="str">
        <f>LEFT(Table_clallam_Oversight_ActiveFunds[[#This Row],[Agency]],3)</f>
        <v>540</v>
      </c>
      <c r="C849" t="s">
        <v>1494</v>
      </c>
      <c r="D849" t="s">
        <v>1353</v>
      </c>
      <c r="E849" t="str">
        <f>LEFT(Table_clallam_Oversight_ActiveFunds[[#This Row],[Fund]],5)</f>
        <v>22F-1</v>
      </c>
    </row>
    <row r="850" ht="15" customHeight="1" spans="1:5" x14ac:dyDescent="0.25">
      <c r="A850">
        <v>1</v>
      </c>
      <c r="B850" t="str">
        <f>LEFT(Table_clallam_Oversight_ActiveFunds[[#This Row],[Agency]],3)</f>
        <v>540</v>
      </c>
      <c r="C850" t="s">
        <v>1494</v>
      </c>
      <c r="D850" t="s">
        <v>442</v>
      </c>
      <c r="E850" t="str">
        <f>LEFT(Table_clallam_Oversight_ActiveFunds[[#This Row],[Fund]],5)</f>
        <v>24J-1</v>
      </c>
    </row>
    <row r="851" ht="15" customHeight="1" spans="1:5" x14ac:dyDescent="0.25">
      <c r="A851">
        <v>1</v>
      </c>
      <c r="B851" t="str">
        <f>LEFT(Table_clallam_Oversight_ActiveFunds[[#This Row],[Agency]],3)</f>
        <v>540</v>
      </c>
      <c r="C851" t="s">
        <v>1494</v>
      </c>
      <c r="D851" t="s">
        <v>1383</v>
      </c>
      <c r="E851" t="str">
        <f>LEFT(Table_clallam_Oversight_ActiveFunds[[#This Row],[Fund]],5)</f>
        <v>25B-1</v>
      </c>
    </row>
    <row r="852" ht="15" customHeight="1" spans="1:5" x14ac:dyDescent="0.25">
      <c r="A852">
        <v>1</v>
      </c>
      <c r="B852" t="str">
        <f>LEFT(Table_clallam_Oversight_ActiveFunds[[#This Row],[Agency]],3)</f>
        <v>540</v>
      </c>
      <c r="C852" t="s">
        <v>1494</v>
      </c>
      <c r="D852" t="s">
        <v>1432</v>
      </c>
      <c r="E852" t="str">
        <f>LEFT(Table_clallam_Oversight_ActiveFunds[[#This Row],[Fund]],5)</f>
        <v>567-1</v>
      </c>
    </row>
    <row r="853" ht="15" customHeight="1" spans="1:5" x14ac:dyDescent="0.25">
      <c r="A853">
        <v>1</v>
      </c>
      <c r="B853" t="str">
        <f>LEFT(Table_clallam_Oversight_ActiveFunds[[#This Row],[Agency]],3)</f>
        <v>540</v>
      </c>
      <c r="C853" t="s">
        <v>1494</v>
      </c>
      <c r="D853" t="s">
        <v>971</v>
      </c>
      <c r="E853" t="str">
        <f>LEFT(Table_clallam_Oversight_ActiveFunds[[#This Row],[Fund]],5)</f>
        <v>706-2</v>
      </c>
    </row>
    <row r="854" ht="15" customHeight="1" spans="1:5" x14ac:dyDescent="0.25">
      <c r="A854">
        <v>1</v>
      </c>
      <c r="B854" t="str">
        <f>LEFT(Table_clallam_Oversight_ActiveFunds[[#This Row],[Agency]],3)</f>
        <v>699</v>
      </c>
      <c r="C854" t="s">
        <v>1495</v>
      </c>
      <c r="D854" t="s">
        <v>28</v>
      </c>
      <c r="E854" t="str">
        <f>LEFT(Table_clallam_Oversight_ActiveFunds[[#This Row],[Fund]],5)</f>
        <v>001-1</v>
      </c>
    </row>
    <row r="855" ht="15" customHeight="1" spans="1:5" x14ac:dyDescent="0.25">
      <c r="A855">
        <v>1</v>
      </c>
      <c r="B855" t="str">
        <f>LEFT(Table_clallam_Oversight_ActiveFunds[[#This Row],[Agency]],3)</f>
        <v>699</v>
      </c>
      <c r="C855" t="s">
        <v>1495</v>
      </c>
      <c r="D855" t="s">
        <v>1010</v>
      </c>
      <c r="E855" t="str">
        <f>LEFT(Table_clallam_Oversight_ActiveFunds[[#This Row],[Fund]],5)</f>
        <v>060-1</v>
      </c>
    </row>
    <row r="856" ht="15" customHeight="1" spans="1:5" x14ac:dyDescent="0.25">
      <c r="A856">
        <v>1</v>
      </c>
      <c r="B856" t="str">
        <f>LEFT(Table_clallam_Oversight_ActiveFunds[[#This Row],[Agency]],3)</f>
        <v>699</v>
      </c>
      <c r="C856" t="s">
        <v>1495</v>
      </c>
      <c r="D856" t="s">
        <v>1084</v>
      </c>
      <c r="E856" t="str">
        <f>LEFT(Table_clallam_Oversight_ActiveFunds[[#This Row],[Fund]],5)</f>
        <v>08A-1</v>
      </c>
    </row>
    <row r="857" ht="15" customHeight="1" spans="1:5" x14ac:dyDescent="0.25">
      <c r="A857">
        <v>1</v>
      </c>
      <c r="B857" t="str">
        <f>LEFT(Table_clallam_Oversight_ActiveFunds[[#This Row],[Agency]],3)</f>
        <v>699</v>
      </c>
      <c r="C857" t="s">
        <v>1495</v>
      </c>
      <c r="D857" t="s">
        <v>1162</v>
      </c>
      <c r="E857" t="str">
        <f>LEFT(Table_clallam_Oversight_ActiveFunds[[#This Row],[Fund]],5)</f>
        <v>11A-6</v>
      </c>
    </row>
    <row r="858" ht="15" customHeight="1" spans="1:5" x14ac:dyDescent="0.25">
      <c r="A858">
        <v>1</v>
      </c>
      <c r="B858" t="str">
        <f>LEFT(Table_clallam_Oversight_ActiveFunds[[#This Row],[Agency]],3)</f>
        <v>699</v>
      </c>
      <c r="C858" t="s">
        <v>1495</v>
      </c>
      <c r="D858" t="s">
        <v>1199</v>
      </c>
      <c r="E858" t="str">
        <f>LEFT(Table_clallam_Oversight_ActiveFunds[[#This Row],[Fund]],5)</f>
        <v>145-6</v>
      </c>
    </row>
    <row r="859" ht="15" customHeight="1" spans="1:5" x14ac:dyDescent="0.25">
      <c r="A859">
        <v>1</v>
      </c>
      <c r="B859" t="str">
        <f>LEFT(Table_clallam_Oversight_ActiveFunds[[#This Row],[Agency]],3)</f>
        <v>699</v>
      </c>
      <c r="C859" t="s">
        <v>1495</v>
      </c>
      <c r="D859" t="s">
        <v>1202</v>
      </c>
      <c r="E859" t="str">
        <f>LEFT(Table_clallam_Oversight_ActiveFunds[[#This Row],[Fund]],5)</f>
        <v>148-6</v>
      </c>
    </row>
    <row r="860" ht="15" customHeight="1" spans="1:5" x14ac:dyDescent="0.25">
      <c r="A860">
        <v>1</v>
      </c>
      <c r="B860" t="str">
        <f>LEFT(Table_clallam_Oversight_ActiveFunds[[#This Row],[Agency]],3)</f>
        <v>699</v>
      </c>
      <c r="C860" t="s">
        <v>1495</v>
      </c>
      <c r="D860" t="s">
        <v>1203</v>
      </c>
      <c r="E860" t="str">
        <f>LEFT(Table_clallam_Oversight_ActiveFunds[[#This Row],[Fund]],5)</f>
        <v>149-6</v>
      </c>
    </row>
    <row r="861" ht="15" customHeight="1" spans="1:5" x14ac:dyDescent="0.25">
      <c r="A861">
        <v>1</v>
      </c>
      <c r="B861" t="str">
        <f>LEFT(Table_clallam_Oversight_ActiveFunds[[#This Row],[Agency]],3)</f>
        <v>699</v>
      </c>
      <c r="C861" t="s">
        <v>1495</v>
      </c>
      <c r="D861" t="s">
        <v>442</v>
      </c>
      <c r="E861" t="str">
        <f>LEFT(Table_clallam_Oversight_ActiveFunds[[#This Row],[Fund]],5)</f>
        <v>24J-1</v>
      </c>
    </row>
    <row r="862" ht="15" customHeight="1" spans="1:5" x14ac:dyDescent="0.25">
      <c r="A862">
        <v>1</v>
      </c>
      <c r="B862" t="str">
        <f>LEFT(Table_clallam_Oversight_ActiveFunds[[#This Row],[Agency]],3)</f>
        <v>699</v>
      </c>
      <c r="C862" t="s">
        <v>1495</v>
      </c>
      <c r="D862" t="s">
        <v>1423</v>
      </c>
      <c r="E862" t="str">
        <f>LEFT(Table_clallam_Oversight_ActiveFunds[[#This Row],[Fund]],5)</f>
        <v>443-6</v>
      </c>
    </row>
    <row r="863" ht="15" customHeight="1" spans="1:5" x14ac:dyDescent="0.25">
      <c r="A863">
        <v>1</v>
      </c>
      <c r="B863" t="str">
        <f>LEFT(Table_clallam_Oversight_ActiveFunds[[#This Row],[Agency]],3)</f>
        <v>699</v>
      </c>
      <c r="C863" t="s">
        <v>1495</v>
      </c>
      <c r="D863" t="s">
        <v>1445</v>
      </c>
      <c r="E863" t="str">
        <f>LEFT(Table_clallam_Oversight_ActiveFunds[[#This Row],[Fund]],5)</f>
        <v>561-6</v>
      </c>
    </row>
    <row r="864" ht="15" customHeight="1" spans="3:3" x14ac:dyDescent="0.25"/>
  </sheetData>
  <dataValidations count="6">
    <dataValidation type="list" allowBlank="1" showInputMessage="1" showErrorMessage="1" errorTitle="Invalid fund For agency" sqref="D864">
      <formula1>IF(_xlfn.XLOOKUP(LEFT(A864,3),XFA:XFA,XEZ:XEZ)=1,OFFSET(AgencyFundList,MATCH((LEFT(A864,3)),AgencyFundList,0)-1,2,COUNTIF(AgencyFundList,LEFT(A864,3))),$A$2)</formula1>
    </dataValidation>
    <dataValidation type="list" allowBlank="1" showInputMessage="1" showErrorMessage="1" sqref="I1">
      <formula1>OFFSET(AgencyFund,MATCH((Agency),AgencyFund,0)-1,1,COUNTIF(AgencyFund,Agency))</formula1>
    </dataValidation>
    <dataValidation type="list" allowBlank="1" showInputMessage="1" showErrorMessage="1" sqref="N1">
      <formula1>IF(pgmcheck=1,OFFSET(AgencyProgram,MATCH((AgyCode),AgencyProgram,0)-1,4,COUNTIF(AgencyProgram,AgyCode)),PgmList)</formula1>
    </dataValidation>
    <dataValidation type="list" allowBlank="1" showInputMessage="1" showErrorMessage="1" sqref="X7">
      <formula1>IF(LEFT(#REF!,4)="2000",SubProgList,"")</formula1>
    </dataValidation>
    <dataValidation type="list" allowBlank="1" showInputMessage="1" showErrorMessage="1" sqref="X8">
      <formula1>IF(LEFT(X3,4)="2000",SubProgList,"")</formula1>
    </dataValidation>
    <dataValidation type="list" allowBlank="1" showInputMessage="1" showErrorMessage="1" sqref="Z15">
      <formula1>IF(AND(LEFT(X2,3)="300",LEFT(Y2,3)="030"),#REF!,IF(AND(LEFT(X2,3)="300",LEFT(Y2,3)="040"),#REF!,#REF!))</formula1>
    </dataValidation>
  </dataValidations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700"/>
  <sheetViews>
    <sheetView workbookViewId="0" zoomScale="100" zoomScaleNormal="100">
      <pane xSplit="6" ySplit="8" topLeftCell="G9" activePane="bottomRight" state="frozen"/>
      <selection pane="bottomRight" activeCell="U25" sqref="U25"/>
    </sheetView>
  </sheetViews>
  <sheetFormatPr defaultRowHeight="12.75" outlineLevelRow="0" outlineLevelCol="0" x14ac:dyDescent="0.2" customHeight="1"/>
  <cols>
    <col min="1" max="1" width="6.140625" hidden="1" customWidth="1"/>
    <col min="2" max="2" width="7.42578125" hidden="1" customWidth="1"/>
    <col min="3" max="3" width="6.85546875" hidden="1" customWidth="1"/>
    <col min="4" max="4" width="8" hidden="1" customWidth="1"/>
    <col min="5" max="5" width="5.7109375" hidden="1" customWidth="1"/>
    <col min="6" max="6" width="36.85546875" style="1" customWidth="1"/>
    <col min="7" max="7" width="12.7109375" customWidth="1"/>
    <col min="8" max="8" width="17.28515625" customWidth="1"/>
    <col min="9" max="9" width="40.85546875" customWidth="1"/>
    <col min="10" max="19" width="11.7109375" customWidth="1"/>
  </cols>
  <sheetData>
    <row r="1" ht="19.5" customHeight="1" spans="1:9" x14ac:dyDescent="0.25">
      <c r="A1" s="2">
        <v>1</v>
      </c>
      <c r="B1" s="2" t="str">
        <f>LEFT(VLOOKUP(A1,ActiveFunds!$H$4:$I$150,2,0),3)</f>
        <v>011</v>
      </c>
      <c r="C1" s="2"/>
      <c r="D1" s="2" t="str">
        <f>VLOOKUP(A1,ActiveFunds!$H$4:$I$150,2,0)</f>
        <v>011-House of Representatives           </v>
      </c>
      <c r="E1" s="2"/>
      <c r="F1" s="3" t="s">
        <v>0</v>
      </c>
      <c r="I1" s="4"/>
    </row>
    <row r="2" ht="7.5" customHeight="1" spans="1:5" x14ac:dyDescent="0.25">
      <c r="A2" s="5"/>
      <c r="B2" s="5" t="s">
        <v>1</v>
      </c>
      <c r="C2" s="5"/>
      <c r="D2" s="5"/>
      <c r="E2" s="5"/>
    </row>
    <row r="3" ht="12" customHeight="1" spans="1:12" x14ac:dyDescent="0.25">
      <c r="A3" s="5"/>
      <c r="B3" s="5"/>
      <c r="C3" s="5"/>
      <c r="D3" s="5"/>
      <c r="E3" s="5"/>
      <c r="H3" s="1"/>
      <c r="L3" s="6"/>
    </row>
    <row r="4" ht="12" customHeight="1" spans="1:5" x14ac:dyDescent="0.25">
      <c r="A4" s="5"/>
      <c r="B4" s="5"/>
      <c r="C4" s="5"/>
      <c r="D4" s="5"/>
      <c r="E4" s="5"/>
    </row>
    <row r="5" ht="19.5" customHeight="1" spans="1:19" x14ac:dyDescent="0.25">
      <c r="A5" s="7">
        <f>LEFT(F5,3)</f>
      </c>
      <c r="B5" s="7">
        <f>TRIM(LEFT(G5,3))</f>
      </c>
      <c r="C5" s="7">
        <f>TRIM(LEFT(H5,4))</f>
      </c>
      <c r="D5" s="7">
        <f>LEFT(I5,3)</f>
      </c>
      <c r="E5" s="7">
        <f>MID(I5,5,1)</f>
      </c>
      <c r="F5" s="8"/>
      <c r="H5">
        <f>_xlfn.SINGLE(IF(AND(LEFT(F9,3)="300",LEFT(G9,3)="030"),ActiveFunds!#REF!,IF(AND(LEFT(F9,3)="300",LEFT(G101,3)="040"),ActiveFunds!#REF!,"")))</f>
      </c>
      <c r="J5" s="9" t="s">
        <v>2</v>
      </c>
      <c r="K5" s="10"/>
      <c r="L5" s="10"/>
      <c r="M5" s="10"/>
      <c r="N5" s="10"/>
      <c r="O5" s="11"/>
      <c r="P5" s="11"/>
      <c r="Q5" s="11"/>
      <c r="R5" s="11"/>
      <c r="S5" s="12"/>
    </row>
    <row r="6" ht="45" customHeight="1" spans="1:19" x14ac:dyDescent="0.25">
      <c r="A6" s="13" t="s">
        <v>3</v>
      </c>
      <c r="B6" s="14" t="s">
        <v>4</v>
      </c>
      <c r="C6" s="14" t="s">
        <v>5</v>
      </c>
      <c r="D6" s="15" t="s">
        <v>6</v>
      </c>
      <c r="E6" s="15" t="s">
        <v>7</v>
      </c>
      <c r="F6" s="16" t="s">
        <v>8</v>
      </c>
      <c r="G6" s="15" t="s">
        <v>9</v>
      </c>
      <c r="H6" s="14" t="s">
        <v>10</v>
      </c>
      <c r="I6" s="15" t="s">
        <v>11</v>
      </c>
      <c r="J6" s="17" t="s">
        <v>12</v>
      </c>
      <c r="K6" s="17" t="s">
        <v>13</v>
      </c>
      <c r="L6" s="17" t="s">
        <v>14</v>
      </c>
      <c r="M6" s="17" t="s">
        <v>15</v>
      </c>
      <c r="N6" s="17" t="s">
        <v>16</v>
      </c>
      <c r="O6" s="17" t="s">
        <v>17</v>
      </c>
      <c r="P6" s="17" t="s">
        <v>18</v>
      </c>
      <c r="Q6" s="17" t="s">
        <v>19</v>
      </c>
      <c r="R6" s="17" t="s">
        <v>20</v>
      </c>
      <c r="S6" s="17" t="s">
        <v>21</v>
      </c>
    </row>
    <row r="7" ht="21.75" customHeight="1" spans="1:19" x14ac:dyDescent="0.25">
      <c r="A7" s="18"/>
      <c r="B7" s="18"/>
      <c r="C7" s="18"/>
      <c r="D7" s="18"/>
      <c r="E7" s="18"/>
      <c r="F7" s="19" t="s">
        <v>22</v>
      </c>
      <c r="G7" s="20"/>
      <c r="H7" s="20"/>
      <c r="I7" s="20"/>
      <c r="J7" s="21">
        <f t="shared" ref="J7:S7" si="0">IF(AgyChoice=1,"",SUM(J8:J979))</f>
      </c>
      <c r="K7" s="21">
        <f t="shared" si="0"/>
      </c>
      <c r="L7" s="21">
        <f t="shared" si="0"/>
      </c>
      <c r="M7" s="21">
        <f t="shared" si="0"/>
      </c>
      <c r="N7" s="21">
        <f t="shared" si="0"/>
      </c>
      <c r="O7" s="21">
        <f t="shared" si="0"/>
      </c>
      <c r="P7" s="21">
        <f t="shared" si="0"/>
      </c>
      <c r="Q7" s="21">
        <f t="shared" si="0"/>
      </c>
      <c r="R7" s="21">
        <f t="shared" si="0"/>
      </c>
      <c r="S7" s="21">
        <f t="shared" si="0"/>
      </c>
    </row>
    <row r="8" ht="14.1" customHeight="1" spans="1:36" x14ac:dyDescent="0.25">
      <c r="A8" t="s">
        <v>23</v>
      </c>
      <c r="B8" s="2" t="s">
        <v>24</v>
      </c>
      <c r="C8" t="s">
        <v>24</v>
      </c>
      <c r="D8" t="s">
        <v>25</v>
      </c>
      <c r="E8" t="s">
        <v>26</v>
      </c>
      <c r="F8" s="1" t="s">
        <v>27</v>
      </c>
      <c r="I8" t="s">
        <v>28</v>
      </c>
      <c r="J8" s="22">
        <v>1</v>
      </c>
      <c r="K8" s="22">
        <v>1</v>
      </c>
      <c r="L8" s="22">
        <v>1</v>
      </c>
      <c r="M8" s="22">
        <v>1</v>
      </c>
      <c r="N8" s="22">
        <v>1</v>
      </c>
      <c r="O8" s="22">
        <v>1</v>
      </c>
      <c r="P8" s="22">
        <v>1</v>
      </c>
      <c r="Q8" s="22">
        <v>1</v>
      </c>
      <c r="R8" s="22">
        <v>1</v>
      </c>
      <c r="S8" s="22">
        <v>1</v>
      </c>
      <c r="AJ8">
        <v>0</v>
      </c>
    </row>
    <row r="9" ht="14.1" customHeight="1" spans="1:36" x14ac:dyDescent="0.25">
      <c r="A9" t="s">
        <v>29</v>
      </c>
      <c r="B9" t="s">
        <v>24</v>
      </c>
      <c r="C9" t="s">
        <v>24</v>
      </c>
      <c r="D9" t="s">
        <v>25</v>
      </c>
      <c r="E9" t="s">
        <v>26</v>
      </c>
      <c r="F9" s="1" t="s">
        <v>30</v>
      </c>
      <c r="I9" t="s">
        <v>28</v>
      </c>
      <c r="J9" s="22">
        <v>1</v>
      </c>
      <c r="K9" s="22">
        <v>1</v>
      </c>
      <c r="L9" s="22">
        <v>1</v>
      </c>
      <c r="M9" s="22">
        <v>1</v>
      </c>
      <c r="N9" s="22">
        <v>1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AJ9">
        <v>0</v>
      </c>
    </row>
    <row r="10" ht="14.1" customHeight="1" spans="1:36" x14ac:dyDescent="0.25">
      <c r="A10" t="s">
        <v>31</v>
      </c>
      <c r="B10" t="s">
        <v>24</v>
      </c>
      <c r="C10" t="s">
        <v>24</v>
      </c>
      <c r="D10" t="s">
        <v>32</v>
      </c>
      <c r="E10" t="s">
        <v>26</v>
      </c>
      <c r="F10" s="1" t="s">
        <v>33</v>
      </c>
      <c r="I10" t="s">
        <v>34</v>
      </c>
      <c r="J10" s="22">
        <v>1</v>
      </c>
      <c r="K10" s="22">
        <v>1</v>
      </c>
      <c r="L10" s="22">
        <v>1</v>
      </c>
      <c r="M10" s="22">
        <v>1</v>
      </c>
      <c r="N10" s="22">
        <v>1</v>
      </c>
      <c r="O10" s="22">
        <v>1</v>
      </c>
      <c r="P10" s="22">
        <v>1</v>
      </c>
      <c r="Q10" s="22">
        <v>1</v>
      </c>
      <c r="R10" s="22">
        <v>1</v>
      </c>
      <c r="S10" s="22">
        <v>1</v>
      </c>
      <c r="AJ10">
        <v>1</v>
      </c>
    </row>
    <row r="11" ht="14.1" customHeight="1" spans="1:36" x14ac:dyDescent="0.25">
      <c r="A11" t="s">
        <v>35</v>
      </c>
      <c r="B11" t="s">
        <v>24</v>
      </c>
      <c r="C11" t="s">
        <v>24</v>
      </c>
      <c r="D11" t="s">
        <v>36</v>
      </c>
      <c r="E11" t="s">
        <v>26</v>
      </c>
      <c r="F11" s="1" t="s">
        <v>37</v>
      </c>
      <c r="I11" t="s">
        <v>38</v>
      </c>
      <c r="J11" s="22">
        <v>1</v>
      </c>
      <c r="K11" s="22">
        <v>1</v>
      </c>
      <c r="L11" s="22">
        <v>1</v>
      </c>
      <c r="M11" s="22">
        <v>1</v>
      </c>
      <c r="N11" s="22">
        <v>1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AJ11">
        <v>0</v>
      </c>
    </row>
    <row r="12" ht="14.1" customHeight="1" spans="1:36" x14ac:dyDescent="0.25">
      <c r="A12" t="s">
        <v>39</v>
      </c>
      <c r="B12" t="s">
        <v>24</v>
      </c>
      <c r="C12" t="s">
        <v>24</v>
      </c>
      <c r="D12" t="s">
        <v>36</v>
      </c>
      <c r="E12" t="s">
        <v>26</v>
      </c>
      <c r="F12" s="1" t="s">
        <v>40</v>
      </c>
      <c r="I12" t="s">
        <v>38</v>
      </c>
      <c r="J12" s="22">
        <v>1</v>
      </c>
      <c r="K12" s="22">
        <v>1</v>
      </c>
      <c r="L12" s="22">
        <v>1</v>
      </c>
      <c r="M12" s="22">
        <v>1</v>
      </c>
      <c r="N12" s="22">
        <v>1</v>
      </c>
      <c r="O12" s="22">
        <v>1</v>
      </c>
      <c r="P12" s="22">
        <v>1</v>
      </c>
      <c r="Q12" s="22">
        <v>1</v>
      </c>
      <c r="R12" s="22">
        <v>1</v>
      </c>
      <c r="S12" s="22">
        <v>1</v>
      </c>
      <c r="AJ12">
        <v>0</v>
      </c>
    </row>
    <row r="13" spans="1:36" x14ac:dyDescent="0.25">
      <c r="A13" t="s">
        <v>41</v>
      </c>
      <c r="B13" t="s">
        <v>24</v>
      </c>
      <c r="C13" t="s">
        <v>24</v>
      </c>
      <c r="D13" t="s">
        <v>42</v>
      </c>
      <c r="E13" t="s">
        <v>26</v>
      </c>
      <c r="F13" s="1" t="s">
        <v>43</v>
      </c>
      <c r="I13" t="s">
        <v>44</v>
      </c>
      <c r="J13" s="22">
        <v>1</v>
      </c>
      <c r="K13" s="22">
        <v>1</v>
      </c>
      <c r="L13" s="22">
        <v>1</v>
      </c>
      <c r="M13" s="22">
        <v>1</v>
      </c>
      <c r="N13" s="22">
        <v>1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AJ13">
        <v>0</v>
      </c>
    </row>
    <row r="14" spans="1:36" x14ac:dyDescent="0.25">
      <c r="A14" t="s">
        <v>45</v>
      </c>
      <c r="B14" t="s">
        <v>24</v>
      </c>
      <c r="C14" t="s">
        <v>24</v>
      </c>
      <c r="D14" t="s">
        <v>25</v>
      </c>
      <c r="E14" t="s">
        <v>26</v>
      </c>
      <c r="F14" s="1" t="s">
        <v>46</v>
      </c>
      <c r="I14" t="s">
        <v>28</v>
      </c>
      <c r="J14" s="22">
        <v>1</v>
      </c>
      <c r="K14" s="22">
        <v>1</v>
      </c>
      <c r="L14" s="22">
        <v>1</v>
      </c>
      <c r="M14" s="22">
        <v>1</v>
      </c>
      <c r="N14" s="22">
        <v>1</v>
      </c>
      <c r="O14" s="22">
        <v>1</v>
      </c>
      <c r="P14" s="22">
        <v>1</v>
      </c>
      <c r="Q14" s="22">
        <v>1</v>
      </c>
      <c r="R14" s="22">
        <v>1</v>
      </c>
      <c r="S14" s="22">
        <v>1</v>
      </c>
      <c r="AJ14">
        <v>0</v>
      </c>
    </row>
    <row r="15" spans="1:36" x14ac:dyDescent="0.25">
      <c r="A15" t="s">
        <v>47</v>
      </c>
      <c r="B15" t="s">
        <v>24</v>
      </c>
      <c r="C15" t="s">
        <v>24</v>
      </c>
      <c r="D15" t="s">
        <v>25</v>
      </c>
      <c r="E15" t="s">
        <v>26</v>
      </c>
      <c r="F15" s="1" t="s">
        <v>48</v>
      </c>
      <c r="I15" t="s">
        <v>28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AJ15">
        <v>0</v>
      </c>
    </row>
    <row r="16" spans="1:36" x14ac:dyDescent="0.25">
      <c r="A16" t="s">
        <v>49</v>
      </c>
      <c r="B16" t="s">
        <v>24</v>
      </c>
      <c r="C16" t="s">
        <v>24</v>
      </c>
      <c r="D16" t="s">
        <v>25</v>
      </c>
      <c r="E16" t="s">
        <v>26</v>
      </c>
      <c r="F16" s="1" t="s">
        <v>50</v>
      </c>
      <c r="I16" t="s">
        <v>28</v>
      </c>
      <c r="J16" s="22">
        <v>1</v>
      </c>
      <c r="K16" s="22">
        <v>1</v>
      </c>
      <c r="L16" s="22">
        <v>1</v>
      </c>
      <c r="M16" s="22">
        <v>1</v>
      </c>
      <c r="N16" s="22">
        <v>1</v>
      </c>
      <c r="O16" s="22">
        <v>1</v>
      </c>
      <c r="P16" s="22">
        <v>1</v>
      </c>
      <c r="Q16" s="22">
        <v>1</v>
      </c>
      <c r="R16" s="22">
        <v>1</v>
      </c>
      <c r="S16" s="22">
        <v>1</v>
      </c>
      <c r="AJ16">
        <v>0</v>
      </c>
    </row>
    <row r="17" spans="1:36" x14ac:dyDescent="0.25">
      <c r="A17" t="s">
        <v>51</v>
      </c>
      <c r="B17" t="s">
        <v>24</v>
      </c>
      <c r="C17" t="s">
        <v>24</v>
      </c>
      <c r="D17" t="s">
        <v>25</v>
      </c>
      <c r="E17" t="s">
        <v>26</v>
      </c>
      <c r="F17" s="1" t="s">
        <v>52</v>
      </c>
      <c r="I17" t="s">
        <v>28</v>
      </c>
      <c r="J17" s="22">
        <v>0.8</v>
      </c>
      <c r="K17" s="22">
        <v>0.8</v>
      </c>
      <c r="L17" s="22">
        <v>0.8</v>
      </c>
      <c r="M17" s="22">
        <v>0.8</v>
      </c>
      <c r="N17" s="22">
        <v>0.8</v>
      </c>
      <c r="O17" s="22">
        <v>0.8</v>
      </c>
      <c r="P17" s="22">
        <v>0.8</v>
      </c>
      <c r="Q17" s="22">
        <v>0.8</v>
      </c>
      <c r="R17" s="22">
        <v>0.8</v>
      </c>
      <c r="S17" s="22">
        <v>0.8</v>
      </c>
      <c r="AJ17">
        <v>0</v>
      </c>
    </row>
    <row r="18" spans="1:36" x14ac:dyDescent="0.25">
      <c r="A18" t="s">
        <v>51</v>
      </c>
      <c r="B18" t="s">
        <v>24</v>
      </c>
      <c r="C18" t="s">
        <v>24</v>
      </c>
      <c r="D18" t="s">
        <v>53</v>
      </c>
      <c r="E18" t="s">
        <v>54</v>
      </c>
      <c r="F18" s="1" t="s">
        <v>52</v>
      </c>
      <c r="I18" t="s">
        <v>55</v>
      </c>
      <c r="J18" s="22">
        <v>0.2</v>
      </c>
      <c r="K18" s="22">
        <v>0.2</v>
      </c>
      <c r="L18" s="22">
        <v>0.2</v>
      </c>
      <c r="M18" s="22">
        <v>0.2</v>
      </c>
      <c r="N18" s="22">
        <v>0.2</v>
      </c>
      <c r="O18" s="22">
        <v>0.2</v>
      </c>
      <c r="P18" s="22">
        <v>0.2</v>
      </c>
      <c r="Q18" s="22">
        <v>0.2</v>
      </c>
      <c r="R18" s="22">
        <v>0.2</v>
      </c>
      <c r="S18" s="22">
        <v>0.2</v>
      </c>
      <c r="AJ18">
        <v>0</v>
      </c>
    </row>
    <row r="19" spans="1:36" x14ac:dyDescent="0.25">
      <c r="A19" t="s">
        <v>56</v>
      </c>
      <c r="B19" t="s">
        <v>24</v>
      </c>
      <c r="C19" t="s">
        <v>24</v>
      </c>
      <c r="D19" t="s">
        <v>25</v>
      </c>
      <c r="E19" t="s">
        <v>26</v>
      </c>
      <c r="F19" s="1" t="s">
        <v>57</v>
      </c>
      <c r="I19" t="s">
        <v>28</v>
      </c>
      <c r="J19" s="22">
        <v>1</v>
      </c>
      <c r="K19" s="22">
        <v>1</v>
      </c>
      <c r="L19" s="22">
        <v>1</v>
      </c>
      <c r="M19" s="22">
        <v>1</v>
      </c>
      <c r="N19" s="22">
        <v>1</v>
      </c>
      <c r="O19" s="22">
        <v>1</v>
      </c>
      <c r="P19" s="22">
        <v>1</v>
      </c>
      <c r="Q19" s="22">
        <v>1</v>
      </c>
      <c r="R19" s="22">
        <v>1</v>
      </c>
      <c r="S19" s="22">
        <v>1</v>
      </c>
      <c r="AJ19">
        <v>0</v>
      </c>
    </row>
    <row r="20" spans="1:36" x14ac:dyDescent="0.25">
      <c r="A20" t="s">
        <v>58</v>
      </c>
      <c r="B20" t="s">
        <v>24</v>
      </c>
      <c r="C20" t="s">
        <v>24</v>
      </c>
      <c r="D20" t="s">
        <v>25</v>
      </c>
      <c r="E20" t="s">
        <v>26</v>
      </c>
      <c r="F20" s="1" t="s">
        <v>59</v>
      </c>
      <c r="I20" t="s">
        <v>28</v>
      </c>
      <c r="J20" s="22">
        <v>1</v>
      </c>
      <c r="K20" s="22">
        <v>1</v>
      </c>
      <c r="L20" s="22">
        <v>1</v>
      </c>
      <c r="M20" s="22">
        <v>1</v>
      </c>
      <c r="N20" s="22">
        <v>1</v>
      </c>
      <c r="O20" s="22">
        <v>1</v>
      </c>
      <c r="P20" s="22">
        <v>1</v>
      </c>
      <c r="Q20" s="22">
        <v>1</v>
      </c>
      <c r="R20" s="22">
        <v>1</v>
      </c>
      <c r="S20" s="22">
        <v>1</v>
      </c>
      <c r="AJ20">
        <v>0</v>
      </c>
    </row>
    <row r="21" spans="1:36" x14ac:dyDescent="0.25">
      <c r="A21" t="s">
        <v>60</v>
      </c>
      <c r="B21" t="s">
        <v>24</v>
      </c>
      <c r="C21" t="s">
        <v>24</v>
      </c>
      <c r="D21" t="s">
        <v>25</v>
      </c>
      <c r="E21" t="s">
        <v>26</v>
      </c>
      <c r="F21" s="1" t="s">
        <v>61</v>
      </c>
      <c r="I21" t="s">
        <v>28</v>
      </c>
      <c r="J21" s="22">
        <v>1</v>
      </c>
      <c r="K21" s="22">
        <v>1</v>
      </c>
      <c r="L21" s="22">
        <v>1</v>
      </c>
      <c r="M21" s="22">
        <v>1</v>
      </c>
      <c r="N21" s="22">
        <v>1</v>
      </c>
      <c r="O21" s="22">
        <v>1</v>
      </c>
      <c r="P21" s="22">
        <v>1</v>
      </c>
      <c r="Q21" s="22">
        <v>1</v>
      </c>
      <c r="R21" s="22">
        <v>1</v>
      </c>
      <c r="S21" s="22">
        <v>1</v>
      </c>
      <c r="AJ21">
        <v>0</v>
      </c>
    </row>
    <row r="22" spans="1:36" x14ac:dyDescent="0.25">
      <c r="A22" t="s">
        <v>62</v>
      </c>
      <c r="B22" t="s">
        <v>24</v>
      </c>
      <c r="C22" t="s">
        <v>24</v>
      </c>
      <c r="D22" t="s">
        <v>25</v>
      </c>
      <c r="E22" t="s">
        <v>26</v>
      </c>
      <c r="F22" s="1" t="s">
        <v>63</v>
      </c>
      <c r="I22" t="s">
        <v>28</v>
      </c>
      <c r="J22" s="22">
        <v>1</v>
      </c>
      <c r="K22" s="22">
        <v>1</v>
      </c>
      <c r="L22" s="22">
        <v>1</v>
      </c>
      <c r="M22" s="22">
        <v>1</v>
      </c>
      <c r="N22" s="22">
        <v>1</v>
      </c>
      <c r="O22" s="22">
        <v>1</v>
      </c>
      <c r="P22" s="22">
        <v>1</v>
      </c>
      <c r="Q22" s="22">
        <v>1</v>
      </c>
      <c r="R22" s="22">
        <v>1</v>
      </c>
      <c r="S22" s="22">
        <v>1</v>
      </c>
      <c r="AJ22">
        <v>0</v>
      </c>
    </row>
    <row r="23" spans="1:36" x14ac:dyDescent="0.25">
      <c r="A23" t="s">
        <v>64</v>
      </c>
      <c r="B23" t="s">
        <v>24</v>
      </c>
      <c r="C23" t="s">
        <v>24</v>
      </c>
      <c r="D23" t="s">
        <v>25</v>
      </c>
      <c r="E23" t="s">
        <v>26</v>
      </c>
      <c r="F23" s="1" t="s">
        <v>65</v>
      </c>
      <c r="I23" t="s">
        <v>28</v>
      </c>
      <c r="J23" s="22">
        <v>1</v>
      </c>
      <c r="K23" s="22">
        <v>1</v>
      </c>
      <c r="L23" s="22">
        <v>1</v>
      </c>
      <c r="M23" s="22">
        <v>1</v>
      </c>
      <c r="N23" s="22">
        <v>1</v>
      </c>
      <c r="O23" s="22">
        <v>1</v>
      </c>
      <c r="P23" s="22">
        <v>1</v>
      </c>
      <c r="Q23" s="22">
        <v>1</v>
      </c>
      <c r="R23" s="22">
        <v>1</v>
      </c>
      <c r="S23" s="22">
        <v>1</v>
      </c>
      <c r="AJ23">
        <v>0</v>
      </c>
    </row>
    <row r="24" spans="1:36" x14ac:dyDescent="0.25">
      <c r="A24" t="s">
        <v>66</v>
      </c>
      <c r="B24" t="s">
        <v>24</v>
      </c>
      <c r="C24" t="s">
        <v>24</v>
      </c>
      <c r="D24" t="s">
        <v>25</v>
      </c>
      <c r="E24" t="s">
        <v>26</v>
      </c>
      <c r="F24" s="1" t="s">
        <v>67</v>
      </c>
      <c r="I24" t="s">
        <v>28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AJ24">
        <v>0</v>
      </c>
    </row>
    <row r="25" spans="1:36" x14ac:dyDescent="0.25">
      <c r="A25" t="s">
        <v>68</v>
      </c>
      <c r="B25" t="s">
        <v>24</v>
      </c>
      <c r="C25" t="s">
        <v>24</v>
      </c>
      <c r="D25" t="s">
        <v>25</v>
      </c>
      <c r="E25" t="s">
        <v>26</v>
      </c>
      <c r="F25" s="1" t="s">
        <v>69</v>
      </c>
      <c r="I25" t="s">
        <v>28</v>
      </c>
      <c r="J25" s="22">
        <v>0.72</v>
      </c>
      <c r="K25" s="22">
        <v>1</v>
      </c>
      <c r="L25" s="22">
        <v>0.72</v>
      </c>
      <c r="M25" s="22">
        <v>1</v>
      </c>
      <c r="N25" s="22">
        <v>0.72</v>
      </c>
      <c r="O25" s="22">
        <v>0.72</v>
      </c>
      <c r="P25" s="22">
        <v>0.72</v>
      </c>
      <c r="Q25" s="22">
        <v>0.72</v>
      </c>
      <c r="R25" s="22">
        <v>0.72</v>
      </c>
      <c r="S25" s="22">
        <v>0.72</v>
      </c>
      <c r="AJ25">
        <v>0</v>
      </c>
    </row>
    <row r="26" spans="1:36" x14ac:dyDescent="0.25">
      <c r="A26" t="s">
        <v>68</v>
      </c>
      <c r="B26" t="s">
        <v>24</v>
      </c>
      <c r="C26" t="s">
        <v>24</v>
      </c>
      <c r="D26" t="s">
        <v>70</v>
      </c>
      <c r="E26" t="s">
        <v>26</v>
      </c>
      <c r="F26" s="1" t="s">
        <v>69</v>
      </c>
      <c r="I26" t="s">
        <v>71</v>
      </c>
      <c r="J26" s="22">
        <v>0.28</v>
      </c>
      <c r="K26" s="22">
        <v>0</v>
      </c>
      <c r="L26" s="22">
        <v>0.28</v>
      </c>
      <c r="M26" s="22">
        <v>0</v>
      </c>
      <c r="N26" s="22">
        <v>0.28</v>
      </c>
      <c r="O26" s="22">
        <v>0.28</v>
      </c>
      <c r="P26" s="22">
        <v>0.28</v>
      </c>
      <c r="Q26" s="22">
        <v>0.28</v>
      </c>
      <c r="R26" s="22">
        <v>0.28</v>
      </c>
      <c r="S26" s="22">
        <v>0.28</v>
      </c>
      <c r="AJ26">
        <v>0</v>
      </c>
    </row>
    <row r="27" spans="1:36" x14ac:dyDescent="0.25">
      <c r="A27" t="s">
        <v>72</v>
      </c>
      <c r="B27" t="s">
        <v>24</v>
      </c>
      <c r="C27" t="s">
        <v>24</v>
      </c>
      <c r="D27" t="s">
        <v>25</v>
      </c>
      <c r="E27" t="s">
        <v>26</v>
      </c>
      <c r="F27" s="1" t="s">
        <v>73</v>
      </c>
      <c r="I27" t="s">
        <v>28</v>
      </c>
      <c r="J27" s="22">
        <v>1</v>
      </c>
      <c r="K27" s="22">
        <v>1</v>
      </c>
      <c r="L27" s="22">
        <v>1</v>
      </c>
      <c r="M27" s="22">
        <v>1</v>
      </c>
      <c r="N27" s="22">
        <v>1</v>
      </c>
      <c r="O27" s="22">
        <v>1</v>
      </c>
      <c r="P27" s="22">
        <v>1</v>
      </c>
      <c r="Q27" s="22">
        <v>1</v>
      </c>
      <c r="R27" s="22">
        <v>1</v>
      </c>
      <c r="S27" s="22">
        <v>1</v>
      </c>
      <c r="AJ27">
        <v>0</v>
      </c>
    </row>
    <row r="28" spans="1:36" x14ac:dyDescent="0.25">
      <c r="A28" t="s">
        <v>74</v>
      </c>
      <c r="B28" t="s">
        <v>24</v>
      </c>
      <c r="C28" t="s">
        <v>24</v>
      </c>
      <c r="D28" t="s">
        <v>25</v>
      </c>
      <c r="E28" t="s">
        <v>26</v>
      </c>
      <c r="F28" s="1" t="s">
        <v>75</v>
      </c>
      <c r="I28" t="s">
        <v>28</v>
      </c>
      <c r="J28" s="22">
        <v>1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22">
        <v>1</v>
      </c>
      <c r="S28" s="22">
        <v>1</v>
      </c>
      <c r="AJ28">
        <v>0</v>
      </c>
    </row>
    <row r="29" spans="1:36" x14ac:dyDescent="0.25">
      <c r="A29" t="s">
        <v>76</v>
      </c>
      <c r="B29" t="s">
        <v>24</v>
      </c>
      <c r="C29" t="s">
        <v>24</v>
      </c>
      <c r="D29" t="s">
        <v>77</v>
      </c>
      <c r="E29" t="s">
        <v>26</v>
      </c>
      <c r="F29" s="1" t="s">
        <v>78</v>
      </c>
      <c r="I29" t="s">
        <v>79</v>
      </c>
      <c r="J29" s="22">
        <v>1</v>
      </c>
      <c r="K29" s="22">
        <v>1</v>
      </c>
      <c r="L29" s="22">
        <v>1</v>
      </c>
      <c r="M29" s="22">
        <v>1</v>
      </c>
      <c r="N29" s="22">
        <v>1</v>
      </c>
      <c r="O29" s="22">
        <v>1</v>
      </c>
      <c r="P29" s="22">
        <v>1</v>
      </c>
      <c r="Q29" s="22">
        <v>1</v>
      </c>
      <c r="R29" s="22">
        <v>1</v>
      </c>
      <c r="S29" s="22">
        <v>1</v>
      </c>
      <c r="AJ29">
        <v>0</v>
      </c>
    </row>
    <row r="30" spans="1:36" x14ac:dyDescent="0.25">
      <c r="A30" t="s">
        <v>80</v>
      </c>
      <c r="B30" t="s">
        <v>24</v>
      </c>
      <c r="C30" t="s">
        <v>24</v>
      </c>
      <c r="D30" t="s">
        <v>25</v>
      </c>
      <c r="E30" t="s">
        <v>26</v>
      </c>
      <c r="F30" s="1" t="s">
        <v>81</v>
      </c>
      <c r="I30" t="s">
        <v>28</v>
      </c>
      <c r="J30" s="22">
        <v>0.66</v>
      </c>
      <c r="K30" s="22">
        <v>0.66</v>
      </c>
      <c r="L30" s="22">
        <v>0.66</v>
      </c>
      <c r="M30" s="22">
        <v>0.66</v>
      </c>
      <c r="N30" s="22">
        <v>0.66</v>
      </c>
      <c r="O30" s="22">
        <v>0.66</v>
      </c>
      <c r="P30" s="22">
        <v>0.66</v>
      </c>
      <c r="Q30" s="22">
        <v>0.66</v>
      </c>
      <c r="R30" s="22">
        <v>0.66</v>
      </c>
      <c r="S30" s="22">
        <v>0.66</v>
      </c>
      <c r="AJ30">
        <v>0</v>
      </c>
    </row>
    <row r="31" spans="1:36" x14ac:dyDescent="0.25">
      <c r="A31" t="s">
        <v>80</v>
      </c>
      <c r="B31" t="s">
        <v>24</v>
      </c>
      <c r="C31" t="s">
        <v>24</v>
      </c>
      <c r="D31" t="s">
        <v>82</v>
      </c>
      <c r="E31" t="s">
        <v>26</v>
      </c>
      <c r="F31" s="1" t="s">
        <v>81</v>
      </c>
      <c r="I31" t="s">
        <v>83</v>
      </c>
      <c r="J31" s="22">
        <v>0.07</v>
      </c>
      <c r="K31" s="22">
        <v>0.07</v>
      </c>
      <c r="L31" s="22">
        <v>0.07</v>
      </c>
      <c r="M31" s="22">
        <v>0.07</v>
      </c>
      <c r="N31" s="22">
        <v>0.07</v>
      </c>
      <c r="O31" s="22">
        <v>0.07</v>
      </c>
      <c r="P31" s="22">
        <v>0.07</v>
      </c>
      <c r="Q31" s="22">
        <v>0.07</v>
      </c>
      <c r="R31" s="22">
        <v>0.07</v>
      </c>
      <c r="S31" s="22">
        <v>0.07</v>
      </c>
      <c r="AJ31">
        <v>0</v>
      </c>
    </row>
    <row r="32" spans="1:36" x14ac:dyDescent="0.25">
      <c r="A32" t="s">
        <v>80</v>
      </c>
      <c r="B32" t="s">
        <v>24</v>
      </c>
      <c r="C32" t="s">
        <v>24</v>
      </c>
      <c r="D32" t="s">
        <v>84</v>
      </c>
      <c r="E32" t="s">
        <v>26</v>
      </c>
      <c r="F32" s="1" t="s">
        <v>81</v>
      </c>
      <c r="I32" t="s">
        <v>85</v>
      </c>
      <c r="J32" s="22">
        <v>0.08</v>
      </c>
      <c r="K32" s="22">
        <v>0.08</v>
      </c>
      <c r="L32" s="22">
        <v>0.08</v>
      </c>
      <c r="M32" s="22">
        <v>0.08</v>
      </c>
      <c r="N32" s="22">
        <v>0.08</v>
      </c>
      <c r="O32" s="22">
        <v>0.08</v>
      </c>
      <c r="P32" s="22">
        <v>0.08</v>
      </c>
      <c r="Q32" s="22">
        <v>0.08</v>
      </c>
      <c r="R32" s="22">
        <v>0.08</v>
      </c>
      <c r="S32" s="22">
        <v>0.08</v>
      </c>
      <c r="AJ32">
        <v>0</v>
      </c>
    </row>
    <row r="33" spans="1:36" x14ac:dyDescent="0.25">
      <c r="A33" t="s">
        <v>80</v>
      </c>
      <c r="B33" t="s">
        <v>24</v>
      </c>
      <c r="C33" t="s">
        <v>24</v>
      </c>
      <c r="D33" t="s">
        <v>86</v>
      </c>
      <c r="E33" t="s">
        <v>54</v>
      </c>
      <c r="F33" s="1" t="s">
        <v>81</v>
      </c>
      <c r="I33" t="s">
        <v>87</v>
      </c>
      <c r="J33" s="22">
        <v>0.12</v>
      </c>
      <c r="K33" s="22">
        <v>0.12</v>
      </c>
      <c r="L33" s="22">
        <v>0.12</v>
      </c>
      <c r="M33" s="22">
        <v>0.12</v>
      </c>
      <c r="N33" s="22">
        <v>0.12</v>
      </c>
      <c r="O33" s="22">
        <v>0.12</v>
      </c>
      <c r="P33" s="22">
        <v>0.12</v>
      </c>
      <c r="Q33" s="22">
        <v>0.12</v>
      </c>
      <c r="R33" s="22">
        <v>0.12</v>
      </c>
      <c r="S33" s="22">
        <v>0.12</v>
      </c>
      <c r="AJ33">
        <v>0</v>
      </c>
    </row>
    <row r="34" spans="1:36" x14ac:dyDescent="0.25">
      <c r="A34" t="s">
        <v>80</v>
      </c>
      <c r="B34" t="s">
        <v>24</v>
      </c>
      <c r="C34" t="s">
        <v>24</v>
      </c>
      <c r="D34" t="s">
        <v>88</v>
      </c>
      <c r="E34" t="s">
        <v>26</v>
      </c>
      <c r="F34" s="1" t="s">
        <v>81</v>
      </c>
      <c r="I34" t="s">
        <v>89</v>
      </c>
      <c r="J34" s="22">
        <v>0.07</v>
      </c>
      <c r="K34" s="22">
        <v>0.07</v>
      </c>
      <c r="L34" s="22">
        <v>0.07</v>
      </c>
      <c r="M34" s="22">
        <v>0.07</v>
      </c>
      <c r="N34" s="22">
        <v>0.07</v>
      </c>
      <c r="O34" s="22">
        <v>0.07</v>
      </c>
      <c r="P34" s="22">
        <v>0.07</v>
      </c>
      <c r="Q34" s="22">
        <v>0.07</v>
      </c>
      <c r="R34" s="22">
        <v>0.07</v>
      </c>
      <c r="S34" s="22">
        <v>0.07</v>
      </c>
      <c r="AJ34">
        <v>0</v>
      </c>
    </row>
    <row r="35" spans="1:36" x14ac:dyDescent="0.25">
      <c r="A35" t="s">
        <v>90</v>
      </c>
      <c r="B35" t="s">
        <v>24</v>
      </c>
      <c r="C35" t="s">
        <v>24</v>
      </c>
      <c r="D35" t="s">
        <v>25</v>
      </c>
      <c r="E35" t="s">
        <v>26</v>
      </c>
      <c r="F35" s="1" t="s">
        <v>91</v>
      </c>
      <c r="I35" t="s">
        <v>28</v>
      </c>
      <c r="J35" s="22">
        <v>0.7</v>
      </c>
      <c r="K35" s="22">
        <v>0.7</v>
      </c>
      <c r="L35" s="22">
        <v>0.7</v>
      </c>
      <c r="M35" s="22">
        <v>0.7</v>
      </c>
      <c r="N35" s="22">
        <v>0.7</v>
      </c>
      <c r="O35" s="22">
        <v>0.7</v>
      </c>
      <c r="P35" s="22">
        <v>0.7</v>
      </c>
      <c r="Q35" s="22">
        <v>0.7</v>
      </c>
      <c r="R35" s="22">
        <v>0.7</v>
      </c>
      <c r="S35" s="22">
        <v>0.7</v>
      </c>
      <c r="AJ35">
        <v>0</v>
      </c>
    </row>
    <row r="36" spans="1:36" x14ac:dyDescent="0.25">
      <c r="A36" t="s">
        <v>90</v>
      </c>
      <c r="B36" t="s">
        <v>24</v>
      </c>
      <c r="C36" t="s">
        <v>24</v>
      </c>
      <c r="D36" t="s">
        <v>92</v>
      </c>
      <c r="E36" t="s">
        <v>26</v>
      </c>
      <c r="F36" s="1" t="s">
        <v>91</v>
      </c>
      <c r="I36" t="s">
        <v>93</v>
      </c>
      <c r="J36" s="22">
        <v>0.3</v>
      </c>
      <c r="K36" s="22">
        <v>0.3</v>
      </c>
      <c r="L36" s="22">
        <v>0.3</v>
      </c>
      <c r="M36" s="22">
        <v>0.3</v>
      </c>
      <c r="N36" s="22">
        <v>0.3</v>
      </c>
      <c r="O36" s="22">
        <v>0.3</v>
      </c>
      <c r="P36" s="22">
        <v>0.3</v>
      </c>
      <c r="Q36" s="22">
        <v>0.3</v>
      </c>
      <c r="R36" s="22">
        <v>0.3</v>
      </c>
      <c r="S36" s="22">
        <v>0.3</v>
      </c>
      <c r="AJ36">
        <v>0</v>
      </c>
    </row>
    <row r="37" spans="1:36" x14ac:dyDescent="0.25">
      <c r="A37" t="s">
        <v>94</v>
      </c>
      <c r="B37" t="s">
        <v>24</v>
      </c>
      <c r="C37" t="s">
        <v>24</v>
      </c>
      <c r="D37" t="s">
        <v>25</v>
      </c>
      <c r="E37" t="s">
        <v>26</v>
      </c>
      <c r="F37" s="1" t="s">
        <v>95</v>
      </c>
      <c r="I37" t="s">
        <v>28</v>
      </c>
      <c r="J37" s="22">
        <v>1</v>
      </c>
      <c r="K37" s="22">
        <v>1</v>
      </c>
      <c r="L37" s="22">
        <v>1</v>
      </c>
      <c r="M37" s="22">
        <v>1</v>
      </c>
      <c r="N37" s="22">
        <v>1</v>
      </c>
      <c r="O37" s="22">
        <v>1</v>
      </c>
      <c r="P37" s="22">
        <v>1</v>
      </c>
      <c r="Q37" s="22">
        <v>1</v>
      </c>
      <c r="R37" s="22">
        <v>1</v>
      </c>
      <c r="S37" s="22">
        <v>1</v>
      </c>
      <c r="AJ37">
        <v>0</v>
      </c>
    </row>
    <row r="38" spans="1:36" x14ac:dyDescent="0.25">
      <c r="A38" t="s">
        <v>96</v>
      </c>
      <c r="B38" t="s">
        <v>24</v>
      </c>
      <c r="C38" t="s">
        <v>24</v>
      </c>
      <c r="D38" t="s">
        <v>97</v>
      </c>
      <c r="E38" t="s">
        <v>26</v>
      </c>
      <c r="F38" s="1" t="s">
        <v>98</v>
      </c>
      <c r="I38" t="s">
        <v>99</v>
      </c>
      <c r="J38" s="22">
        <v>1</v>
      </c>
      <c r="K38" s="22">
        <v>1</v>
      </c>
      <c r="L38" s="22">
        <v>1</v>
      </c>
      <c r="M38" s="22">
        <v>1</v>
      </c>
      <c r="N38" s="22">
        <v>1</v>
      </c>
      <c r="O38" s="22">
        <v>1</v>
      </c>
      <c r="P38" s="22">
        <v>1</v>
      </c>
      <c r="Q38" s="22">
        <v>1</v>
      </c>
      <c r="R38" s="22">
        <v>1</v>
      </c>
      <c r="S38" s="22">
        <v>1</v>
      </c>
      <c r="AJ38">
        <v>0</v>
      </c>
    </row>
    <row r="39" spans="1:36" x14ac:dyDescent="0.25">
      <c r="A39" t="s">
        <v>100</v>
      </c>
      <c r="B39" t="s">
        <v>24</v>
      </c>
      <c r="C39" t="s">
        <v>24</v>
      </c>
      <c r="D39" t="s">
        <v>25</v>
      </c>
      <c r="E39" t="s">
        <v>26</v>
      </c>
      <c r="F39" s="1" t="s">
        <v>101</v>
      </c>
      <c r="I39" t="s">
        <v>28</v>
      </c>
      <c r="J39" s="22">
        <v>0</v>
      </c>
      <c r="K39" s="22">
        <v>0.02</v>
      </c>
      <c r="L39" s="22">
        <v>0</v>
      </c>
      <c r="M39" s="22">
        <v>0</v>
      </c>
      <c r="N39" s="22">
        <v>0</v>
      </c>
      <c r="O39" s="22">
        <v>0</v>
      </c>
      <c r="P39" s="22">
        <v>0.02</v>
      </c>
      <c r="Q39" s="22">
        <v>0.02</v>
      </c>
      <c r="R39" s="22">
        <v>0.02</v>
      </c>
      <c r="S39" s="22">
        <v>0.02</v>
      </c>
      <c r="AJ39">
        <v>0</v>
      </c>
    </row>
    <row r="40" spans="1:36" x14ac:dyDescent="0.25">
      <c r="A40" t="s">
        <v>100</v>
      </c>
      <c r="B40" t="s">
        <v>24</v>
      </c>
      <c r="C40" t="s">
        <v>24</v>
      </c>
      <c r="D40" t="s">
        <v>102</v>
      </c>
      <c r="E40" t="s">
        <v>54</v>
      </c>
      <c r="F40" s="1" t="s">
        <v>101</v>
      </c>
      <c r="I40" t="s">
        <v>103</v>
      </c>
      <c r="J40" s="22">
        <v>0.6</v>
      </c>
      <c r="K40" s="22">
        <v>0.46</v>
      </c>
      <c r="L40" s="22">
        <v>0.6</v>
      </c>
      <c r="M40" s="22">
        <v>0.4</v>
      </c>
      <c r="N40" s="22">
        <v>0.58</v>
      </c>
      <c r="O40" s="22">
        <v>0.6</v>
      </c>
      <c r="P40" s="22">
        <v>0.6</v>
      </c>
      <c r="Q40" s="22">
        <v>0.59</v>
      </c>
      <c r="R40" s="22">
        <v>0.59</v>
      </c>
      <c r="S40" s="22">
        <v>0.59</v>
      </c>
      <c r="AJ40">
        <v>0</v>
      </c>
    </row>
    <row r="41" spans="1:36" x14ac:dyDescent="0.25">
      <c r="A41" t="s">
        <v>100</v>
      </c>
      <c r="B41" t="s">
        <v>24</v>
      </c>
      <c r="C41" t="s">
        <v>24</v>
      </c>
      <c r="D41" t="s">
        <v>104</v>
      </c>
      <c r="E41" t="s">
        <v>26</v>
      </c>
      <c r="F41" s="1" t="s">
        <v>101</v>
      </c>
      <c r="I41" t="s">
        <v>105</v>
      </c>
      <c r="J41" s="22">
        <v>0.13</v>
      </c>
      <c r="K41" s="22">
        <v>0.37</v>
      </c>
      <c r="L41" s="22">
        <v>0.13</v>
      </c>
      <c r="M41" s="22">
        <v>0.21</v>
      </c>
      <c r="N41" s="22">
        <v>0.16</v>
      </c>
      <c r="O41" s="22">
        <v>0.13</v>
      </c>
      <c r="P41" s="22">
        <v>0.15</v>
      </c>
      <c r="Q41" s="22">
        <v>0.13</v>
      </c>
      <c r="R41" s="22">
        <v>0.13</v>
      </c>
      <c r="S41" s="22">
        <v>0.13</v>
      </c>
      <c r="AJ41">
        <v>0</v>
      </c>
    </row>
    <row r="42" spans="1:36" x14ac:dyDescent="0.25">
      <c r="A42" t="s">
        <v>100</v>
      </c>
      <c r="B42" t="s">
        <v>24</v>
      </c>
      <c r="C42" t="s">
        <v>24</v>
      </c>
      <c r="D42" t="s">
        <v>36</v>
      </c>
      <c r="E42" t="s">
        <v>26</v>
      </c>
      <c r="F42" s="1" t="s">
        <v>101</v>
      </c>
      <c r="I42" t="s">
        <v>38</v>
      </c>
      <c r="J42" s="22">
        <v>0.02</v>
      </c>
      <c r="K42" s="22">
        <v>0.03</v>
      </c>
      <c r="L42" s="22">
        <v>0.02</v>
      </c>
      <c r="M42" s="22">
        <v>0.14</v>
      </c>
      <c r="N42" s="22">
        <v>0.02</v>
      </c>
      <c r="O42" s="22">
        <v>0.02</v>
      </c>
      <c r="P42" s="22">
        <v>0.02</v>
      </c>
      <c r="Q42" s="22">
        <v>0.02</v>
      </c>
      <c r="R42" s="22">
        <v>0.02</v>
      </c>
      <c r="S42" s="22">
        <v>0.02</v>
      </c>
      <c r="AJ42">
        <v>0</v>
      </c>
    </row>
    <row r="43" spans="1:36" x14ac:dyDescent="0.25">
      <c r="A43" t="s">
        <v>100</v>
      </c>
      <c r="B43" t="s">
        <v>24</v>
      </c>
      <c r="C43" t="s">
        <v>24</v>
      </c>
      <c r="D43" t="s">
        <v>36</v>
      </c>
      <c r="E43" t="s">
        <v>54</v>
      </c>
      <c r="F43" s="1" t="s">
        <v>101</v>
      </c>
      <c r="I43" t="s">
        <v>106</v>
      </c>
      <c r="J43" s="22">
        <v>0.25</v>
      </c>
      <c r="K43" s="22">
        <v>0.12</v>
      </c>
      <c r="L43" s="22">
        <v>0.25</v>
      </c>
      <c r="M43" s="22">
        <v>0.25</v>
      </c>
      <c r="N43" s="22">
        <v>0.24</v>
      </c>
      <c r="O43" s="22">
        <v>0.25</v>
      </c>
      <c r="P43" s="22">
        <v>0.21</v>
      </c>
      <c r="Q43" s="22">
        <v>0.24</v>
      </c>
      <c r="R43" s="22">
        <v>0.24</v>
      </c>
      <c r="S43" s="22">
        <v>0.24</v>
      </c>
      <c r="AJ43">
        <v>0</v>
      </c>
    </row>
    <row r="44" spans="1:36" x14ac:dyDescent="0.25">
      <c r="A44" t="s">
        <v>107</v>
      </c>
      <c r="B44" t="s">
        <v>24</v>
      </c>
      <c r="C44" t="s">
        <v>24</v>
      </c>
      <c r="D44" t="s">
        <v>25</v>
      </c>
      <c r="E44" t="s">
        <v>26</v>
      </c>
      <c r="F44" s="1" t="s">
        <v>108</v>
      </c>
      <c r="I44" t="s">
        <v>28</v>
      </c>
      <c r="J44" s="22">
        <v>1</v>
      </c>
      <c r="K44" s="22">
        <v>1</v>
      </c>
      <c r="L44" s="22">
        <v>1</v>
      </c>
      <c r="M44" s="22">
        <v>1</v>
      </c>
      <c r="N44" s="22">
        <v>1</v>
      </c>
      <c r="O44" s="22">
        <v>1</v>
      </c>
      <c r="P44" s="22">
        <v>1</v>
      </c>
      <c r="Q44" s="22">
        <v>1</v>
      </c>
      <c r="R44" s="22">
        <v>1</v>
      </c>
      <c r="S44" s="22">
        <v>1</v>
      </c>
      <c r="AJ44">
        <v>0</v>
      </c>
    </row>
    <row r="45" spans="1:36" x14ac:dyDescent="0.25">
      <c r="A45" t="s">
        <v>109</v>
      </c>
      <c r="B45" t="s">
        <v>24</v>
      </c>
      <c r="C45" t="s">
        <v>24</v>
      </c>
      <c r="D45" t="s">
        <v>25</v>
      </c>
      <c r="E45" t="s">
        <v>26</v>
      </c>
      <c r="F45" s="1" t="s">
        <v>110</v>
      </c>
      <c r="I45" t="s">
        <v>28</v>
      </c>
      <c r="J45" s="22">
        <v>0.1396</v>
      </c>
      <c r="K45" s="22">
        <v>0.1396</v>
      </c>
      <c r="L45" s="22">
        <v>0</v>
      </c>
      <c r="M45" s="22">
        <v>0.1396</v>
      </c>
      <c r="N45" s="22">
        <v>0.1396</v>
      </c>
      <c r="O45" s="22">
        <v>0.1396</v>
      </c>
      <c r="P45" s="22">
        <v>0.1396</v>
      </c>
      <c r="Q45" s="22">
        <v>0.1396</v>
      </c>
      <c r="R45" s="22">
        <v>0.1396</v>
      </c>
      <c r="S45" s="22">
        <v>0.1396</v>
      </c>
      <c r="AJ45">
        <v>0</v>
      </c>
    </row>
    <row r="46" spans="1:36" x14ac:dyDescent="0.25">
      <c r="A46" t="s">
        <v>109</v>
      </c>
      <c r="B46" t="s">
        <v>24</v>
      </c>
      <c r="C46" t="s">
        <v>24</v>
      </c>
      <c r="D46" t="s">
        <v>111</v>
      </c>
      <c r="E46" t="s">
        <v>26</v>
      </c>
      <c r="F46" s="1" t="s">
        <v>110</v>
      </c>
      <c r="I46" t="s">
        <v>112</v>
      </c>
      <c r="J46" s="22">
        <v>0.0123</v>
      </c>
      <c r="K46" s="22">
        <v>0.0123</v>
      </c>
      <c r="L46" s="22">
        <v>0</v>
      </c>
      <c r="M46" s="22">
        <v>0.0123</v>
      </c>
      <c r="N46" s="22">
        <v>0.0123</v>
      </c>
      <c r="O46" s="22">
        <v>0.0123</v>
      </c>
      <c r="P46" s="22">
        <v>0.0123</v>
      </c>
      <c r="Q46" s="22">
        <v>0.0123</v>
      </c>
      <c r="R46" s="22">
        <v>0.0123</v>
      </c>
      <c r="S46" s="22">
        <v>0.0123</v>
      </c>
      <c r="AJ46">
        <v>0</v>
      </c>
    </row>
    <row r="47" spans="1:36" x14ac:dyDescent="0.25">
      <c r="A47" t="s">
        <v>109</v>
      </c>
      <c r="B47" t="s">
        <v>24</v>
      </c>
      <c r="C47" t="s">
        <v>24</v>
      </c>
      <c r="D47" t="s">
        <v>113</v>
      </c>
      <c r="E47" t="s">
        <v>54</v>
      </c>
      <c r="F47" s="1" t="s">
        <v>110</v>
      </c>
      <c r="I47" t="s">
        <v>114</v>
      </c>
      <c r="J47" s="22">
        <v>0.0041</v>
      </c>
      <c r="K47" s="22">
        <v>0.0041</v>
      </c>
      <c r="L47" s="22">
        <v>0.3571</v>
      </c>
      <c r="M47" s="22">
        <v>0.0041</v>
      </c>
      <c r="N47" s="22">
        <v>0.0041</v>
      </c>
      <c r="O47" s="22">
        <v>0.0041</v>
      </c>
      <c r="P47" s="22">
        <v>0.0041</v>
      </c>
      <c r="Q47" s="22">
        <v>0.0041</v>
      </c>
      <c r="R47" s="22">
        <v>0.0041</v>
      </c>
      <c r="S47" s="22">
        <v>0.0041</v>
      </c>
      <c r="AJ47">
        <v>0</v>
      </c>
    </row>
    <row r="48" spans="1:36" x14ac:dyDescent="0.25">
      <c r="A48" t="s">
        <v>109</v>
      </c>
      <c r="B48" t="s">
        <v>24</v>
      </c>
      <c r="C48" t="s">
        <v>24</v>
      </c>
      <c r="D48" t="s">
        <v>115</v>
      </c>
      <c r="E48" t="s">
        <v>54</v>
      </c>
      <c r="F48" s="1" t="s">
        <v>110</v>
      </c>
      <c r="I48" t="s">
        <v>116</v>
      </c>
      <c r="J48" s="22">
        <v>0</v>
      </c>
      <c r="K48" s="22">
        <v>0</v>
      </c>
      <c r="L48" s="22">
        <v>0</v>
      </c>
      <c r="M48" s="22">
        <v>0</v>
      </c>
      <c r="N48" s="22">
        <v>0</v>
      </c>
      <c r="O48" s="22">
        <v>0</v>
      </c>
      <c r="P48" s="22">
        <v>0</v>
      </c>
      <c r="Q48" s="22">
        <v>0</v>
      </c>
      <c r="R48" s="22">
        <v>0</v>
      </c>
      <c r="S48" s="22">
        <v>0</v>
      </c>
      <c r="AJ48">
        <v>0</v>
      </c>
    </row>
    <row r="49" spans="1:36" x14ac:dyDescent="0.25">
      <c r="A49" t="s">
        <v>109</v>
      </c>
      <c r="B49" t="s">
        <v>24</v>
      </c>
      <c r="C49" t="s">
        <v>24</v>
      </c>
      <c r="D49" t="s">
        <v>117</v>
      </c>
      <c r="E49" t="s">
        <v>26</v>
      </c>
      <c r="F49" s="1" t="s">
        <v>110</v>
      </c>
      <c r="I49" t="s">
        <v>118</v>
      </c>
      <c r="J49" s="22">
        <v>0.0036</v>
      </c>
      <c r="K49" s="22">
        <v>0.0036</v>
      </c>
      <c r="L49" s="22">
        <v>0</v>
      </c>
      <c r="M49" s="22">
        <v>0.0036</v>
      </c>
      <c r="N49" s="22">
        <v>0.0036</v>
      </c>
      <c r="O49" s="22">
        <v>0.0036</v>
      </c>
      <c r="P49" s="22">
        <v>0.0036</v>
      </c>
      <c r="Q49" s="22">
        <v>0.0036</v>
      </c>
      <c r="R49" s="22">
        <v>0.0036</v>
      </c>
      <c r="S49" s="22">
        <v>0.0036</v>
      </c>
      <c r="AJ49">
        <v>0</v>
      </c>
    </row>
    <row r="50" spans="1:36" x14ac:dyDescent="0.25">
      <c r="A50" t="s">
        <v>109</v>
      </c>
      <c r="B50" t="s">
        <v>24</v>
      </c>
      <c r="C50" t="s">
        <v>24</v>
      </c>
      <c r="D50" t="s">
        <v>119</v>
      </c>
      <c r="E50" t="s">
        <v>54</v>
      </c>
      <c r="F50" s="1" t="s">
        <v>110</v>
      </c>
      <c r="I50" t="s">
        <v>120</v>
      </c>
      <c r="J50" s="22">
        <v>0.0013</v>
      </c>
      <c r="K50" s="22">
        <v>0.0013</v>
      </c>
      <c r="L50" s="22">
        <v>0</v>
      </c>
      <c r="M50" s="22">
        <v>0.0013</v>
      </c>
      <c r="N50" s="22">
        <v>0.0013</v>
      </c>
      <c r="O50" s="22">
        <v>0.0013</v>
      </c>
      <c r="P50" s="22">
        <v>0.0013</v>
      </c>
      <c r="Q50" s="22">
        <v>0.0013</v>
      </c>
      <c r="R50" s="22">
        <v>0.0013</v>
      </c>
      <c r="S50" s="22">
        <v>0.0013</v>
      </c>
      <c r="AJ50">
        <v>0</v>
      </c>
    </row>
    <row r="51" spans="1:36" x14ac:dyDescent="0.25">
      <c r="A51" t="s">
        <v>109</v>
      </c>
      <c r="B51" t="s">
        <v>24</v>
      </c>
      <c r="C51" t="s">
        <v>24</v>
      </c>
      <c r="D51" t="s">
        <v>121</v>
      </c>
      <c r="E51" t="s">
        <v>54</v>
      </c>
      <c r="F51" s="1" t="s">
        <v>110</v>
      </c>
      <c r="I51" t="s">
        <v>122</v>
      </c>
      <c r="J51" s="22">
        <v>0</v>
      </c>
      <c r="K51" s="22">
        <v>0</v>
      </c>
      <c r="L51" s="22">
        <v>0</v>
      </c>
      <c r="M51" s="22">
        <v>0</v>
      </c>
      <c r="N51" s="22">
        <v>0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  <c r="AJ51">
        <v>0</v>
      </c>
    </row>
    <row r="52" spans="1:36" x14ac:dyDescent="0.25">
      <c r="A52" t="s">
        <v>109</v>
      </c>
      <c r="B52" t="s">
        <v>24</v>
      </c>
      <c r="C52" t="s">
        <v>24</v>
      </c>
      <c r="D52" t="s">
        <v>123</v>
      </c>
      <c r="E52" t="s">
        <v>26</v>
      </c>
      <c r="F52" s="1" t="s">
        <v>110</v>
      </c>
      <c r="I52" t="s">
        <v>124</v>
      </c>
      <c r="J52" s="22">
        <v>0.8121</v>
      </c>
      <c r="K52" s="22">
        <v>0.8121</v>
      </c>
      <c r="L52" s="22">
        <v>0.6429</v>
      </c>
      <c r="M52" s="22">
        <v>0.8121</v>
      </c>
      <c r="N52" s="22">
        <v>0.8121</v>
      </c>
      <c r="O52" s="22">
        <v>0.8121</v>
      </c>
      <c r="P52" s="22">
        <v>0.8121</v>
      </c>
      <c r="Q52" s="22">
        <v>0.8121</v>
      </c>
      <c r="R52" s="22">
        <v>0.8121</v>
      </c>
      <c r="S52" s="22">
        <v>0.8121</v>
      </c>
      <c r="AJ52">
        <v>0</v>
      </c>
    </row>
    <row r="53" spans="1:36" x14ac:dyDescent="0.25">
      <c r="A53" t="s">
        <v>109</v>
      </c>
      <c r="B53" t="s">
        <v>24</v>
      </c>
      <c r="C53" t="s">
        <v>24</v>
      </c>
      <c r="D53" t="s">
        <v>125</v>
      </c>
      <c r="E53" t="s">
        <v>54</v>
      </c>
      <c r="F53" s="1" t="s">
        <v>110</v>
      </c>
      <c r="I53" t="s">
        <v>126</v>
      </c>
      <c r="J53" s="22">
        <v>0.0243</v>
      </c>
      <c r="K53" s="22">
        <v>0.0243</v>
      </c>
      <c r="L53" s="22">
        <v>0</v>
      </c>
      <c r="M53" s="22">
        <v>0.0243</v>
      </c>
      <c r="N53" s="22">
        <v>0.0243</v>
      </c>
      <c r="O53" s="22">
        <v>0.0243</v>
      </c>
      <c r="P53" s="22">
        <v>0.0243</v>
      </c>
      <c r="Q53" s="22">
        <v>0.0243</v>
      </c>
      <c r="R53" s="22">
        <v>0.0243</v>
      </c>
      <c r="S53" s="22">
        <v>0.0243</v>
      </c>
      <c r="AJ53">
        <v>0</v>
      </c>
    </row>
    <row r="54" spans="1:36" x14ac:dyDescent="0.25">
      <c r="A54" t="s">
        <v>109</v>
      </c>
      <c r="B54" t="s">
        <v>24</v>
      </c>
      <c r="C54" t="s">
        <v>24</v>
      </c>
      <c r="D54" t="s">
        <v>88</v>
      </c>
      <c r="E54" t="s">
        <v>26</v>
      </c>
      <c r="F54" s="1" t="s">
        <v>110</v>
      </c>
      <c r="I54" t="s">
        <v>89</v>
      </c>
      <c r="J54" s="22">
        <v>0.0022</v>
      </c>
      <c r="K54" s="22">
        <v>0.0022</v>
      </c>
      <c r="L54" s="22">
        <v>0</v>
      </c>
      <c r="M54" s="22">
        <v>0.0022</v>
      </c>
      <c r="N54" s="22">
        <v>0.0022</v>
      </c>
      <c r="O54" s="22">
        <v>0.0022</v>
      </c>
      <c r="P54" s="22">
        <v>0.0022</v>
      </c>
      <c r="Q54" s="22">
        <v>0.0022</v>
      </c>
      <c r="R54" s="22">
        <v>0.0022</v>
      </c>
      <c r="S54" s="22">
        <v>0.0022</v>
      </c>
      <c r="AJ54">
        <v>0</v>
      </c>
    </row>
    <row r="55" spans="1:36" x14ac:dyDescent="0.25">
      <c r="A55" t="s">
        <v>109</v>
      </c>
      <c r="B55" t="s">
        <v>24</v>
      </c>
      <c r="C55" t="s">
        <v>24</v>
      </c>
      <c r="D55" t="s">
        <v>127</v>
      </c>
      <c r="E55" t="s">
        <v>26</v>
      </c>
      <c r="F55" s="1" t="s">
        <v>110</v>
      </c>
      <c r="I55" t="s">
        <v>128</v>
      </c>
      <c r="J55" s="22">
        <v>0.0005</v>
      </c>
      <c r="K55" s="22">
        <v>0.0005</v>
      </c>
      <c r="L55" s="22">
        <v>0</v>
      </c>
      <c r="M55" s="22">
        <v>0.0005</v>
      </c>
      <c r="N55" s="22">
        <v>0.0005</v>
      </c>
      <c r="O55" s="22">
        <v>0.0005</v>
      </c>
      <c r="P55" s="22">
        <v>0.0005</v>
      </c>
      <c r="Q55" s="22">
        <v>0.0005</v>
      </c>
      <c r="R55" s="22">
        <v>0.0005</v>
      </c>
      <c r="S55" s="22">
        <v>0.0005</v>
      </c>
      <c r="AJ55">
        <v>0</v>
      </c>
    </row>
    <row r="56" spans="1:36" x14ac:dyDescent="0.25">
      <c r="A56" t="s">
        <v>129</v>
      </c>
      <c r="B56" t="s">
        <v>24</v>
      </c>
      <c r="C56" t="s">
        <v>24</v>
      </c>
      <c r="D56" t="s">
        <v>25</v>
      </c>
      <c r="E56" t="s">
        <v>26</v>
      </c>
      <c r="F56" s="1" t="s">
        <v>130</v>
      </c>
      <c r="I56" t="s">
        <v>28</v>
      </c>
      <c r="J56" s="22">
        <v>1</v>
      </c>
      <c r="K56" s="22">
        <v>1</v>
      </c>
      <c r="L56" s="22">
        <v>1</v>
      </c>
      <c r="M56" s="22">
        <v>1</v>
      </c>
      <c r="N56" s="22">
        <v>1</v>
      </c>
      <c r="O56" s="22">
        <v>1</v>
      </c>
      <c r="P56" s="22">
        <v>1</v>
      </c>
      <c r="Q56" s="22">
        <v>1</v>
      </c>
      <c r="R56" s="22">
        <v>1</v>
      </c>
      <c r="S56" s="22">
        <v>1</v>
      </c>
      <c r="AJ56">
        <v>0</v>
      </c>
    </row>
    <row r="57" spans="1:36" x14ac:dyDescent="0.25">
      <c r="A57" t="s">
        <v>131</v>
      </c>
      <c r="B57" t="s">
        <v>24</v>
      </c>
      <c r="C57" t="s">
        <v>24</v>
      </c>
      <c r="D57" t="s">
        <v>132</v>
      </c>
      <c r="E57" t="s">
        <v>54</v>
      </c>
      <c r="F57" s="1" t="s">
        <v>133</v>
      </c>
      <c r="I57" t="s">
        <v>134</v>
      </c>
      <c r="J57" s="22">
        <v>1</v>
      </c>
      <c r="K57" s="22">
        <v>1</v>
      </c>
      <c r="L57" s="22">
        <v>1</v>
      </c>
      <c r="M57" s="22">
        <v>1</v>
      </c>
      <c r="N57" s="22">
        <v>1</v>
      </c>
      <c r="O57" s="22">
        <v>1</v>
      </c>
      <c r="P57" s="22">
        <v>1</v>
      </c>
      <c r="Q57" s="22">
        <v>1</v>
      </c>
      <c r="R57" s="22">
        <v>1</v>
      </c>
      <c r="S57" s="22">
        <v>1</v>
      </c>
      <c r="AJ57">
        <v>0</v>
      </c>
    </row>
    <row r="58" spans="1:36" x14ac:dyDescent="0.25">
      <c r="A58" t="s">
        <v>135</v>
      </c>
      <c r="B58" t="s">
        <v>136</v>
      </c>
      <c r="C58" t="s">
        <v>24</v>
      </c>
      <c r="D58" t="s">
        <v>25</v>
      </c>
      <c r="E58" t="s">
        <v>26</v>
      </c>
      <c r="F58" s="1" t="s">
        <v>137</v>
      </c>
      <c r="G58" t="s">
        <v>138</v>
      </c>
      <c r="I58" t="s">
        <v>28</v>
      </c>
      <c r="J58" s="22">
        <v>0.0265</v>
      </c>
      <c r="K58" s="22">
        <v>0.0265</v>
      </c>
      <c r="L58" s="22">
        <v>0.0265</v>
      </c>
      <c r="M58" s="22">
        <v>0.0265</v>
      </c>
      <c r="N58" s="22">
        <v>0.0265</v>
      </c>
      <c r="O58" s="22">
        <v>0.0265</v>
      </c>
      <c r="P58" s="22">
        <v>0.0265</v>
      </c>
      <c r="Q58" s="22">
        <v>0.0265</v>
      </c>
      <c r="R58" s="22">
        <v>0.0265</v>
      </c>
      <c r="S58" s="22">
        <v>0.0265</v>
      </c>
      <c r="AJ58">
        <v>0</v>
      </c>
    </row>
    <row r="59" spans="1:36" x14ac:dyDescent="0.25">
      <c r="A59" t="s">
        <v>135</v>
      </c>
      <c r="B59" t="s">
        <v>136</v>
      </c>
      <c r="C59" t="s">
        <v>24</v>
      </c>
      <c r="D59" t="s">
        <v>25</v>
      </c>
      <c r="E59" t="s">
        <v>139</v>
      </c>
      <c r="F59" s="1" t="s">
        <v>137</v>
      </c>
      <c r="G59" t="s">
        <v>138</v>
      </c>
      <c r="I59" t="s">
        <v>140</v>
      </c>
      <c r="J59" s="22">
        <v>0.0071</v>
      </c>
      <c r="K59" s="22">
        <v>0.0071</v>
      </c>
      <c r="L59" s="22">
        <v>0.0071</v>
      </c>
      <c r="M59" s="22">
        <v>0.0071</v>
      </c>
      <c r="N59" s="22">
        <v>0.0071</v>
      </c>
      <c r="O59" s="22">
        <v>0.0071</v>
      </c>
      <c r="P59" s="22">
        <v>0.0071</v>
      </c>
      <c r="Q59" s="22">
        <v>0.0071</v>
      </c>
      <c r="R59" s="22">
        <v>0.0071</v>
      </c>
      <c r="S59" s="22">
        <v>0.0071</v>
      </c>
      <c r="AJ59">
        <v>0</v>
      </c>
    </row>
    <row r="60" spans="1:36" x14ac:dyDescent="0.25">
      <c r="A60" t="s">
        <v>135</v>
      </c>
      <c r="B60" t="s">
        <v>141</v>
      </c>
      <c r="C60" t="s">
        <v>24</v>
      </c>
      <c r="D60" t="s">
        <v>25</v>
      </c>
      <c r="E60" t="s">
        <v>26</v>
      </c>
      <c r="F60" s="1" t="s">
        <v>137</v>
      </c>
      <c r="G60" t="s">
        <v>142</v>
      </c>
      <c r="I60" t="s">
        <v>28</v>
      </c>
      <c r="J60" s="22">
        <v>0.061</v>
      </c>
      <c r="K60" s="22">
        <v>0.061</v>
      </c>
      <c r="L60" s="22">
        <v>0.061</v>
      </c>
      <c r="M60" s="22">
        <v>0.061</v>
      </c>
      <c r="N60" s="22">
        <v>0.061</v>
      </c>
      <c r="O60" s="22">
        <v>0.061</v>
      </c>
      <c r="P60" s="22">
        <v>0.061</v>
      </c>
      <c r="Q60" s="22">
        <v>0.061</v>
      </c>
      <c r="R60" s="22">
        <v>0.061</v>
      </c>
      <c r="S60" s="22">
        <v>0.061</v>
      </c>
      <c r="AJ60">
        <v>0</v>
      </c>
    </row>
    <row r="61" spans="1:36" x14ac:dyDescent="0.25">
      <c r="A61" t="s">
        <v>135</v>
      </c>
      <c r="B61" t="s">
        <v>141</v>
      </c>
      <c r="C61" t="s">
        <v>24</v>
      </c>
      <c r="D61" t="s">
        <v>25</v>
      </c>
      <c r="E61" t="s">
        <v>143</v>
      </c>
      <c r="F61" s="1" t="s">
        <v>137</v>
      </c>
      <c r="G61" t="s">
        <v>142</v>
      </c>
      <c r="I61" t="s">
        <v>144</v>
      </c>
      <c r="J61" s="22">
        <v>0.0456</v>
      </c>
      <c r="K61" s="22">
        <v>0.0456</v>
      </c>
      <c r="L61" s="22">
        <v>0.0456</v>
      </c>
      <c r="M61" s="22">
        <v>0.0456</v>
      </c>
      <c r="N61" s="22">
        <v>0.0456</v>
      </c>
      <c r="O61" s="22">
        <v>0.0456</v>
      </c>
      <c r="P61" s="22">
        <v>0.0456</v>
      </c>
      <c r="Q61" s="22">
        <v>0.0456</v>
      </c>
      <c r="R61" s="22">
        <v>0.0456</v>
      </c>
      <c r="S61" s="22">
        <v>0.0456</v>
      </c>
      <c r="AJ61">
        <v>0</v>
      </c>
    </row>
    <row r="62" spans="1:36" x14ac:dyDescent="0.25">
      <c r="A62" t="s">
        <v>135</v>
      </c>
      <c r="B62" t="s">
        <v>141</v>
      </c>
      <c r="C62" t="s">
        <v>24</v>
      </c>
      <c r="D62" t="s">
        <v>25</v>
      </c>
      <c r="E62" t="s">
        <v>139</v>
      </c>
      <c r="F62" s="1" t="s">
        <v>137</v>
      </c>
      <c r="G62" t="s">
        <v>142</v>
      </c>
      <c r="I62" t="s">
        <v>140</v>
      </c>
      <c r="J62" s="22">
        <v>0.0164</v>
      </c>
      <c r="K62" s="22">
        <v>0.0164</v>
      </c>
      <c r="L62" s="22">
        <v>0.0164</v>
      </c>
      <c r="M62" s="22">
        <v>0.0164</v>
      </c>
      <c r="N62" s="22">
        <v>0.0164</v>
      </c>
      <c r="O62" s="22">
        <v>0.0164</v>
      </c>
      <c r="P62" s="22">
        <v>0.0164</v>
      </c>
      <c r="Q62" s="22">
        <v>0.0164</v>
      </c>
      <c r="R62" s="22">
        <v>0.0164</v>
      </c>
      <c r="S62" s="22">
        <v>0.0164</v>
      </c>
      <c r="AJ62">
        <v>0</v>
      </c>
    </row>
    <row r="63" spans="1:36" x14ac:dyDescent="0.25">
      <c r="A63" t="s">
        <v>135</v>
      </c>
      <c r="B63" t="s">
        <v>141</v>
      </c>
      <c r="C63" t="s">
        <v>24</v>
      </c>
      <c r="D63" t="s">
        <v>145</v>
      </c>
      <c r="E63" t="s">
        <v>26</v>
      </c>
      <c r="F63" s="1" t="s">
        <v>137</v>
      </c>
      <c r="G63" t="s">
        <v>142</v>
      </c>
      <c r="I63" t="s">
        <v>146</v>
      </c>
      <c r="J63" s="22">
        <v>0.0032</v>
      </c>
      <c r="K63" s="22">
        <v>0.0032</v>
      </c>
      <c r="L63" s="22">
        <v>0.0032</v>
      </c>
      <c r="M63" s="22">
        <v>0.0032</v>
      </c>
      <c r="N63" s="22">
        <v>0.0032</v>
      </c>
      <c r="O63" s="22">
        <v>0.0032</v>
      </c>
      <c r="P63" s="22">
        <v>0.0032</v>
      </c>
      <c r="Q63" s="22">
        <v>0.0032</v>
      </c>
      <c r="R63" s="22">
        <v>0.0032</v>
      </c>
      <c r="S63" s="22">
        <v>0.0032</v>
      </c>
      <c r="AJ63">
        <v>0</v>
      </c>
    </row>
    <row r="64" spans="1:36" x14ac:dyDescent="0.25">
      <c r="A64" t="s">
        <v>135</v>
      </c>
      <c r="B64" t="s">
        <v>147</v>
      </c>
      <c r="C64" t="s">
        <v>24</v>
      </c>
      <c r="D64" t="s">
        <v>25</v>
      </c>
      <c r="E64" t="s">
        <v>26</v>
      </c>
      <c r="F64" s="1" t="s">
        <v>137</v>
      </c>
      <c r="G64" t="s">
        <v>148</v>
      </c>
      <c r="I64" t="s">
        <v>28</v>
      </c>
      <c r="J64" s="22">
        <v>0.0911</v>
      </c>
      <c r="K64" s="22">
        <v>0.0911</v>
      </c>
      <c r="L64" s="22">
        <v>0.0911</v>
      </c>
      <c r="M64" s="22">
        <v>0.0911</v>
      </c>
      <c r="N64" s="22">
        <v>0.0911</v>
      </c>
      <c r="O64" s="22">
        <v>0.0911</v>
      </c>
      <c r="P64" s="22">
        <v>0.0911</v>
      </c>
      <c r="Q64" s="22">
        <v>0.0911</v>
      </c>
      <c r="R64" s="22">
        <v>0.0911</v>
      </c>
      <c r="S64" s="22">
        <v>0.0911</v>
      </c>
      <c r="AJ64">
        <v>0</v>
      </c>
    </row>
    <row r="65" spans="1:36" x14ac:dyDescent="0.25">
      <c r="A65" t="s">
        <v>135</v>
      </c>
      <c r="B65" t="s">
        <v>147</v>
      </c>
      <c r="C65" t="s">
        <v>24</v>
      </c>
      <c r="D65" t="s">
        <v>25</v>
      </c>
      <c r="E65" t="s">
        <v>143</v>
      </c>
      <c r="F65" s="1" t="s">
        <v>137</v>
      </c>
      <c r="G65" t="s">
        <v>148</v>
      </c>
      <c r="I65" t="s">
        <v>144</v>
      </c>
      <c r="J65" s="22">
        <v>0.078</v>
      </c>
      <c r="K65" s="22">
        <v>0.078</v>
      </c>
      <c r="L65" s="22">
        <v>0.078</v>
      </c>
      <c r="M65" s="22">
        <v>0.078</v>
      </c>
      <c r="N65" s="22">
        <v>0.078</v>
      </c>
      <c r="O65" s="22">
        <v>0.078</v>
      </c>
      <c r="P65" s="22">
        <v>0.078</v>
      </c>
      <c r="Q65" s="22">
        <v>0.078</v>
      </c>
      <c r="R65" s="22">
        <v>0.078</v>
      </c>
      <c r="S65" s="22">
        <v>0.078</v>
      </c>
      <c r="AJ65">
        <v>0</v>
      </c>
    </row>
    <row r="66" spans="1:36" x14ac:dyDescent="0.25">
      <c r="A66" t="s">
        <v>135</v>
      </c>
      <c r="B66" t="s">
        <v>147</v>
      </c>
      <c r="C66" t="s">
        <v>24</v>
      </c>
      <c r="D66" t="s">
        <v>25</v>
      </c>
      <c r="E66" t="s">
        <v>139</v>
      </c>
      <c r="F66" s="1" t="s">
        <v>137</v>
      </c>
      <c r="G66" t="s">
        <v>148</v>
      </c>
      <c r="I66" t="s">
        <v>140</v>
      </c>
      <c r="J66" s="22">
        <v>0.024</v>
      </c>
      <c r="K66" s="22">
        <v>0.024</v>
      </c>
      <c r="L66" s="22">
        <v>0.024</v>
      </c>
      <c r="M66" s="22">
        <v>0.024</v>
      </c>
      <c r="N66" s="22">
        <v>0.024</v>
      </c>
      <c r="O66" s="22">
        <v>0.024</v>
      </c>
      <c r="P66" s="22">
        <v>0.024</v>
      </c>
      <c r="Q66" s="22">
        <v>0.024</v>
      </c>
      <c r="R66" s="22">
        <v>0.024</v>
      </c>
      <c r="S66" s="22">
        <v>0.024</v>
      </c>
      <c r="AJ66">
        <v>0</v>
      </c>
    </row>
    <row r="67" spans="1:36" x14ac:dyDescent="0.25">
      <c r="A67" t="s">
        <v>135</v>
      </c>
      <c r="B67" t="s">
        <v>147</v>
      </c>
      <c r="C67" t="s">
        <v>24</v>
      </c>
      <c r="D67" t="s">
        <v>149</v>
      </c>
      <c r="E67" t="s">
        <v>26</v>
      </c>
      <c r="F67" s="1" t="s">
        <v>137</v>
      </c>
      <c r="G67" t="s">
        <v>148</v>
      </c>
      <c r="I67" t="s">
        <v>150</v>
      </c>
      <c r="J67" s="22">
        <v>0.062</v>
      </c>
      <c r="K67" s="22">
        <v>0.062</v>
      </c>
      <c r="L67" s="22">
        <v>0.062</v>
      </c>
      <c r="M67" s="22">
        <v>0.062</v>
      </c>
      <c r="N67" s="22">
        <v>0.062</v>
      </c>
      <c r="O67" s="22">
        <v>0.062</v>
      </c>
      <c r="P67" s="22">
        <v>0.062</v>
      </c>
      <c r="Q67" s="22">
        <v>0.062</v>
      </c>
      <c r="R67" s="22">
        <v>0.062</v>
      </c>
      <c r="S67" s="22">
        <v>0.062</v>
      </c>
      <c r="AJ67">
        <v>0</v>
      </c>
    </row>
    <row r="68" spans="1:36" x14ac:dyDescent="0.25">
      <c r="A68" t="s">
        <v>135</v>
      </c>
      <c r="B68" t="s">
        <v>147</v>
      </c>
      <c r="C68" t="s">
        <v>24</v>
      </c>
      <c r="D68" t="s">
        <v>151</v>
      </c>
      <c r="E68" t="s">
        <v>26</v>
      </c>
      <c r="F68" s="1" t="s">
        <v>137</v>
      </c>
      <c r="G68" t="s">
        <v>148</v>
      </c>
      <c r="I68" t="s">
        <v>152</v>
      </c>
      <c r="J68" s="22">
        <v>0.0102</v>
      </c>
      <c r="K68" s="22">
        <v>0.0102</v>
      </c>
      <c r="L68" s="22">
        <v>0.0102</v>
      </c>
      <c r="M68" s="22">
        <v>0.0102</v>
      </c>
      <c r="N68" s="22">
        <v>0.0102</v>
      </c>
      <c r="O68" s="22">
        <v>0.0102</v>
      </c>
      <c r="P68" s="22">
        <v>0.0102</v>
      </c>
      <c r="Q68" s="22">
        <v>0.0102</v>
      </c>
      <c r="R68" s="22">
        <v>0.0102</v>
      </c>
      <c r="S68" s="22">
        <v>0.0102</v>
      </c>
      <c r="AJ68">
        <v>0</v>
      </c>
    </row>
    <row r="69" spans="1:36" x14ac:dyDescent="0.25">
      <c r="A69" t="s">
        <v>135</v>
      </c>
      <c r="B69" t="s">
        <v>147</v>
      </c>
      <c r="C69" t="s">
        <v>24</v>
      </c>
      <c r="D69" t="s">
        <v>119</v>
      </c>
      <c r="E69" t="s">
        <v>54</v>
      </c>
      <c r="F69" s="1" t="s">
        <v>137</v>
      </c>
      <c r="G69" t="s">
        <v>148</v>
      </c>
      <c r="I69" t="s">
        <v>120</v>
      </c>
      <c r="J69" s="22">
        <v>0.0107</v>
      </c>
      <c r="K69" s="22">
        <v>0.0107</v>
      </c>
      <c r="L69" s="22">
        <v>0.0107</v>
      </c>
      <c r="M69" s="22">
        <v>0.0107</v>
      </c>
      <c r="N69" s="22">
        <v>0.0107</v>
      </c>
      <c r="O69" s="22">
        <v>0.0107</v>
      </c>
      <c r="P69" s="22">
        <v>0.0107</v>
      </c>
      <c r="Q69" s="22">
        <v>0.0107</v>
      </c>
      <c r="R69" s="22">
        <v>0.0107</v>
      </c>
      <c r="S69" s="22">
        <v>0.0107</v>
      </c>
      <c r="AJ69">
        <v>0</v>
      </c>
    </row>
    <row r="70" spans="1:36" x14ac:dyDescent="0.25">
      <c r="A70" t="s">
        <v>135</v>
      </c>
      <c r="B70" t="s">
        <v>147</v>
      </c>
      <c r="C70" t="s">
        <v>24</v>
      </c>
      <c r="D70" t="s">
        <v>153</v>
      </c>
      <c r="E70" t="s">
        <v>54</v>
      </c>
      <c r="F70" s="1" t="s">
        <v>137</v>
      </c>
      <c r="G70" t="s">
        <v>148</v>
      </c>
      <c r="I70" t="s">
        <v>154</v>
      </c>
      <c r="J70" s="22">
        <v>0.0034</v>
      </c>
      <c r="K70" s="22">
        <v>0.0034</v>
      </c>
      <c r="L70" s="22">
        <v>0.0034</v>
      </c>
      <c r="M70" s="22">
        <v>0.0034</v>
      </c>
      <c r="N70" s="22">
        <v>0.0034</v>
      </c>
      <c r="O70" s="22">
        <v>0.0034</v>
      </c>
      <c r="P70" s="22">
        <v>0.0034</v>
      </c>
      <c r="Q70" s="22">
        <v>0.0034</v>
      </c>
      <c r="R70" s="22">
        <v>0.0034</v>
      </c>
      <c r="S70" s="22">
        <v>0.0034</v>
      </c>
      <c r="AJ70">
        <v>0</v>
      </c>
    </row>
    <row r="71" spans="1:36" x14ac:dyDescent="0.25">
      <c r="A71" t="s">
        <v>135</v>
      </c>
      <c r="B71" t="s">
        <v>147</v>
      </c>
      <c r="C71" t="s">
        <v>24</v>
      </c>
      <c r="D71" t="s">
        <v>155</v>
      </c>
      <c r="E71" t="s">
        <v>26</v>
      </c>
      <c r="F71" s="1" t="s">
        <v>137</v>
      </c>
      <c r="G71" t="s">
        <v>148</v>
      </c>
      <c r="I71" t="s">
        <v>156</v>
      </c>
      <c r="J71" s="22">
        <v>0.0217</v>
      </c>
      <c r="K71" s="22">
        <v>0.0217</v>
      </c>
      <c r="L71" s="22">
        <v>0.0217</v>
      </c>
      <c r="M71" s="22">
        <v>0.0217</v>
      </c>
      <c r="N71" s="22">
        <v>0.0217</v>
      </c>
      <c r="O71" s="22">
        <v>0.0217</v>
      </c>
      <c r="P71" s="22">
        <v>0.0217</v>
      </c>
      <c r="Q71" s="22">
        <v>0.0217</v>
      </c>
      <c r="R71" s="22">
        <v>0.0217</v>
      </c>
      <c r="S71" s="22">
        <v>0.0217</v>
      </c>
      <c r="AJ71">
        <v>0</v>
      </c>
    </row>
    <row r="72" spans="1:36" x14ac:dyDescent="0.25">
      <c r="A72" t="s">
        <v>135</v>
      </c>
      <c r="B72" t="s">
        <v>147</v>
      </c>
      <c r="C72" t="s">
        <v>24</v>
      </c>
      <c r="D72" t="s">
        <v>157</v>
      </c>
      <c r="E72" t="s">
        <v>26</v>
      </c>
      <c r="F72" s="1" t="s">
        <v>137</v>
      </c>
      <c r="G72" t="s">
        <v>148</v>
      </c>
      <c r="I72" t="s">
        <v>158</v>
      </c>
      <c r="J72" s="22">
        <v>0.0775</v>
      </c>
      <c r="K72" s="22">
        <v>0.0775</v>
      </c>
      <c r="L72" s="22">
        <v>0.0775</v>
      </c>
      <c r="M72" s="22">
        <v>0.0775</v>
      </c>
      <c r="N72" s="22">
        <v>0.0775</v>
      </c>
      <c r="O72" s="22">
        <v>0.0775</v>
      </c>
      <c r="P72" s="22">
        <v>0.0775</v>
      </c>
      <c r="Q72" s="22">
        <v>0.0775</v>
      </c>
      <c r="R72" s="22">
        <v>0.0775</v>
      </c>
      <c r="S72" s="22">
        <v>0.0775</v>
      </c>
      <c r="AJ72">
        <v>0</v>
      </c>
    </row>
    <row r="73" spans="1:36" x14ac:dyDescent="0.25">
      <c r="A73" t="s">
        <v>135</v>
      </c>
      <c r="B73" t="s">
        <v>159</v>
      </c>
      <c r="C73" t="s">
        <v>24</v>
      </c>
      <c r="D73" t="s">
        <v>25</v>
      </c>
      <c r="E73" t="s">
        <v>26</v>
      </c>
      <c r="F73" s="1" t="s">
        <v>137</v>
      </c>
      <c r="G73" t="s">
        <v>160</v>
      </c>
      <c r="I73" t="s">
        <v>28</v>
      </c>
      <c r="J73" s="22">
        <v>0.0681</v>
      </c>
      <c r="K73" s="22">
        <v>0.0681</v>
      </c>
      <c r="L73" s="22">
        <v>0.0681</v>
      </c>
      <c r="M73" s="22">
        <v>0.0681</v>
      </c>
      <c r="N73" s="22">
        <v>0.0681</v>
      </c>
      <c r="O73" s="22">
        <v>0.0681</v>
      </c>
      <c r="P73" s="22">
        <v>0.0681</v>
      </c>
      <c r="Q73" s="22">
        <v>0.0681</v>
      </c>
      <c r="R73" s="22">
        <v>0.0681</v>
      </c>
      <c r="S73" s="22">
        <v>0.0681</v>
      </c>
      <c r="AJ73">
        <v>0</v>
      </c>
    </row>
    <row r="74" spans="1:36" x14ac:dyDescent="0.25">
      <c r="A74" t="s">
        <v>135</v>
      </c>
      <c r="B74" t="s">
        <v>159</v>
      </c>
      <c r="C74" t="s">
        <v>24</v>
      </c>
      <c r="D74" t="s">
        <v>25</v>
      </c>
      <c r="E74" t="s">
        <v>143</v>
      </c>
      <c r="F74" s="1" t="s">
        <v>137</v>
      </c>
      <c r="G74" t="s">
        <v>160</v>
      </c>
      <c r="I74" t="s">
        <v>144</v>
      </c>
      <c r="J74" s="22">
        <v>0.051</v>
      </c>
      <c r="K74" s="22">
        <v>0.051</v>
      </c>
      <c r="L74" s="22">
        <v>0.051</v>
      </c>
      <c r="M74" s="22">
        <v>0.051</v>
      </c>
      <c r="N74" s="22">
        <v>0.051</v>
      </c>
      <c r="O74" s="22">
        <v>0.051</v>
      </c>
      <c r="P74" s="22">
        <v>0.051</v>
      </c>
      <c r="Q74" s="22">
        <v>0.051</v>
      </c>
      <c r="R74" s="22">
        <v>0.051</v>
      </c>
      <c r="S74" s="22">
        <v>0.051</v>
      </c>
      <c r="AJ74">
        <v>0</v>
      </c>
    </row>
    <row r="75" spans="1:36" x14ac:dyDescent="0.25">
      <c r="A75" t="s">
        <v>135</v>
      </c>
      <c r="B75" t="s">
        <v>159</v>
      </c>
      <c r="C75" t="s">
        <v>24</v>
      </c>
      <c r="D75" t="s">
        <v>25</v>
      </c>
      <c r="E75" t="s">
        <v>139</v>
      </c>
      <c r="F75" s="1" t="s">
        <v>137</v>
      </c>
      <c r="G75" t="s">
        <v>160</v>
      </c>
      <c r="I75" t="s">
        <v>161</v>
      </c>
      <c r="J75" s="22">
        <v>0.0183</v>
      </c>
      <c r="K75" s="22">
        <v>0.0183</v>
      </c>
      <c r="L75" s="22">
        <v>0.0183</v>
      </c>
      <c r="M75" s="22">
        <v>0.0183</v>
      </c>
      <c r="N75" s="22">
        <v>0.0183</v>
      </c>
      <c r="O75" s="22">
        <v>0.0183</v>
      </c>
      <c r="P75" s="22">
        <v>0.0183</v>
      </c>
      <c r="Q75" s="22">
        <v>0.0183</v>
      </c>
      <c r="R75" s="22">
        <v>0.0183</v>
      </c>
      <c r="S75" s="22">
        <v>0.0183</v>
      </c>
      <c r="AJ75">
        <v>0</v>
      </c>
    </row>
    <row r="76" spans="1:36" x14ac:dyDescent="0.25">
      <c r="A76" t="s">
        <v>135</v>
      </c>
      <c r="B76" t="s">
        <v>159</v>
      </c>
      <c r="C76" t="s">
        <v>24</v>
      </c>
      <c r="D76" t="s">
        <v>162</v>
      </c>
      <c r="E76" t="s">
        <v>26</v>
      </c>
      <c r="F76" s="1" t="s">
        <v>137</v>
      </c>
      <c r="G76" t="s">
        <v>160</v>
      </c>
      <c r="I76" t="s">
        <v>163</v>
      </c>
      <c r="J76" s="22">
        <v>0.0047</v>
      </c>
      <c r="K76" s="22">
        <v>0.0047</v>
      </c>
      <c r="L76" s="22">
        <v>0.0047</v>
      </c>
      <c r="M76" s="22">
        <v>0.0047</v>
      </c>
      <c r="N76" s="22">
        <v>0.0047</v>
      </c>
      <c r="O76" s="22">
        <v>0.0047</v>
      </c>
      <c r="P76" s="22">
        <v>0.0047</v>
      </c>
      <c r="Q76" s="22">
        <v>0.0047</v>
      </c>
      <c r="R76" s="22">
        <v>0.0047</v>
      </c>
      <c r="S76" s="22">
        <v>0.0047</v>
      </c>
      <c r="AJ76">
        <v>0</v>
      </c>
    </row>
    <row r="77" spans="1:36" x14ac:dyDescent="0.25">
      <c r="A77" t="s">
        <v>135</v>
      </c>
      <c r="B77" t="s">
        <v>164</v>
      </c>
      <c r="C77" t="s">
        <v>24</v>
      </c>
      <c r="D77" t="s">
        <v>25</v>
      </c>
      <c r="E77" t="s">
        <v>26</v>
      </c>
      <c r="F77" s="1" t="s">
        <v>137</v>
      </c>
      <c r="G77" t="s">
        <v>165</v>
      </c>
      <c r="I77" t="s">
        <v>28</v>
      </c>
      <c r="J77" s="22">
        <v>0.0851</v>
      </c>
      <c r="K77" s="22">
        <v>0.0851</v>
      </c>
      <c r="L77" s="22">
        <v>0.0851</v>
      </c>
      <c r="M77" s="22">
        <v>0.0851</v>
      </c>
      <c r="N77" s="22">
        <v>0.0851</v>
      </c>
      <c r="O77" s="22">
        <v>0.0851</v>
      </c>
      <c r="P77" s="22">
        <v>0.0851</v>
      </c>
      <c r="Q77" s="22">
        <v>0.0851</v>
      </c>
      <c r="R77" s="22">
        <v>0.0851</v>
      </c>
      <c r="S77" s="22">
        <v>0.0851</v>
      </c>
      <c r="AJ77">
        <v>0</v>
      </c>
    </row>
    <row r="78" spans="1:36" x14ac:dyDescent="0.25">
      <c r="A78" t="s">
        <v>135</v>
      </c>
      <c r="B78" t="s">
        <v>164</v>
      </c>
      <c r="C78" t="s">
        <v>24</v>
      </c>
      <c r="D78" t="s">
        <v>25</v>
      </c>
      <c r="E78" t="s">
        <v>143</v>
      </c>
      <c r="F78" s="1" t="s">
        <v>137</v>
      </c>
      <c r="G78" t="s">
        <v>165</v>
      </c>
      <c r="I78" t="s">
        <v>144</v>
      </c>
      <c r="J78" s="22">
        <v>0.0682</v>
      </c>
      <c r="K78" s="22">
        <v>0.0682</v>
      </c>
      <c r="L78" s="22">
        <v>0.0682</v>
      </c>
      <c r="M78" s="22">
        <v>0.0682</v>
      </c>
      <c r="N78" s="22">
        <v>0.0682</v>
      </c>
      <c r="O78" s="22">
        <v>0.0682</v>
      </c>
      <c r="P78" s="22">
        <v>0.0682</v>
      </c>
      <c r="Q78" s="22">
        <v>0.0682</v>
      </c>
      <c r="R78" s="22">
        <v>0.0682</v>
      </c>
      <c r="S78" s="22">
        <v>0.0682</v>
      </c>
      <c r="AJ78">
        <v>0</v>
      </c>
    </row>
    <row r="79" spans="1:36" x14ac:dyDescent="0.25">
      <c r="A79" t="s">
        <v>135</v>
      </c>
      <c r="B79" t="s">
        <v>164</v>
      </c>
      <c r="C79" t="s">
        <v>24</v>
      </c>
      <c r="D79" t="s">
        <v>25</v>
      </c>
      <c r="E79" t="s">
        <v>139</v>
      </c>
      <c r="F79" s="1" t="s">
        <v>137</v>
      </c>
      <c r="G79" t="s">
        <v>165</v>
      </c>
      <c r="I79" t="s">
        <v>140</v>
      </c>
      <c r="J79" s="22">
        <v>0.0229</v>
      </c>
      <c r="K79" s="22">
        <v>0.0229</v>
      </c>
      <c r="L79" s="22">
        <v>0.0229</v>
      </c>
      <c r="M79" s="22">
        <v>0.0229</v>
      </c>
      <c r="N79" s="22">
        <v>0.0229</v>
      </c>
      <c r="O79" s="22">
        <v>0.0229</v>
      </c>
      <c r="P79" s="22">
        <v>0.0229</v>
      </c>
      <c r="Q79" s="22">
        <v>0.0229</v>
      </c>
      <c r="R79" s="22">
        <v>0.0229</v>
      </c>
      <c r="S79" s="22">
        <v>0.0229</v>
      </c>
      <c r="AJ79">
        <v>0</v>
      </c>
    </row>
    <row r="80" spans="1:36" x14ac:dyDescent="0.25">
      <c r="A80" t="s">
        <v>135</v>
      </c>
      <c r="B80" t="s">
        <v>164</v>
      </c>
      <c r="C80" t="s">
        <v>24</v>
      </c>
      <c r="D80" t="s">
        <v>166</v>
      </c>
      <c r="E80" t="s">
        <v>26</v>
      </c>
      <c r="F80" s="1" t="s">
        <v>137</v>
      </c>
      <c r="G80" t="s">
        <v>165</v>
      </c>
      <c r="I80" t="s">
        <v>167</v>
      </c>
      <c r="J80" s="22">
        <v>0.0522</v>
      </c>
      <c r="K80" s="22">
        <v>0.0522</v>
      </c>
      <c r="L80" s="22">
        <v>0.0522</v>
      </c>
      <c r="M80" s="22">
        <v>0.0522</v>
      </c>
      <c r="N80" s="22">
        <v>0.0522</v>
      </c>
      <c r="O80" s="22">
        <v>0.0522</v>
      </c>
      <c r="P80" s="22">
        <v>0.0522</v>
      </c>
      <c r="Q80" s="22">
        <v>0.0522</v>
      </c>
      <c r="R80" s="22">
        <v>0.0522</v>
      </c>
      <c r="S80" s="22">
        <v>0.0522</v>
      </c>
      <c r="AJ80">
        <v>0</v>
      </c>
    </row>
    <row r="81" spans="1:36" x14ac:dyDescent="0.25">
      <c r="A81" t="s">
        <v>135</v>
      </c>
      <c r="B81" t="s">
        <v>164</v>
      </c>
      <c r="C81" t="s">
        <v>24</v>
      </c>
      <c r="D81" t="s">
        <v>168</v>
      </c>
      <c r="E81" t="s">
        <v>26</v>
      </c>
      <c r="F81" s="1" t="s">
        <v>137</v>
      </c>
      <c r="G81" t="s">
        <v>165</v>
      </c>
      <c r="I81" t="s">
        <v>169</v>
      </c>
      <c r="J81" s="22">
        <v>0.0065</v>
      </c>
      <c r="K81" s="22">
        <v>0.0065</v>
      </c>
      <c r="L81" s="22">
        <v>0.0065</v>
      </c>
      <c r="M81" s="22">
        <v>0.0065</v>
      </c>
      <c r="N81" s="22">
        <v>0.0065</v>
      </c>
      <c r="O81" s="22">
        <v>0.0065</v>
      </c>
      <c r="P81" s="22">
        <v>0.0065</v>
      </c>
      <c r="Q81" s="22">
        <v>0.0065</v>
      </c>
      <c r="R81" s="22">
        <v>0.0065</v>
      </c>
      <c r="S81" s="22">
        <v>0.0065</v>
      </c>
      <c r="AJ81">
        <v>0</v>
      </c>
    </row>
    <row r="82" spans="1:36" x14ac:dyDescent="0.25">
      <c r="A82" t="s">
        <v>135</v>
      </c>
      <c r="B82" t="s">
        <v>164</v>
      </c>
      <c r="C82" t="s">
        <v>24</v>
      </c>
      <c r="D82" t="s">
        <v>170</v>
      </c>
      <c r="E82" t="s">
        <v>26</v>
      </c>
      <c r="F82" s="1" t="s">
        <v>137</v>
      </c>
      <c r="G82" t="s">
        <v>165</v>
      </c>
      <c r="I82" t="s">
        <v>171</v>
      </c>
      <c r="J82" s="22">
        <v>0.0012</v>
      </c>
      <c r="K82" s="22">
        <v>0.0012</v>
      </c>
      <c r="L82" s="22">
        <v>0.0012</v>
      </c>
      <c r="M82" s="22">
        <v>0.0012</v>
      </c>
      <c r="N82" s="22">
        <v>0.0012</v>
      </c>
      <c r="O82" s="22">
        <v>0.0012</v>
      </c>
      <c r="P82" s="22">
        <v>0.0012</v>
      </c>
      <c r="Q82" s="22">
        <v>0.0012</v>
      </c>
      <c r="R82" s="22">
        <v>0.0012</v>
      </c>
      <c r="S82" s="22">
        <v>0.0012</v>
      </c>
      <c r="AJ82">
        <v>0</v>
      </c>
    </row>
    <row r="83" spans="1:36" x14ac:dyDescent="0.25">
      <c r="A83" t="s">
        <v>135</v>
      </c>
      <c r="B83" t="s">
        <v>164</v>
      </c>
      <c r="C83" t="s">
        <v>24</v>
      </c>
      <c r="D83" t="s">
        <v>172</v>
      </c>
      <c r="E83" t="s">
        <v>26</v>
      </c>
      <c r="F83" s="1" t="s">
        <v>137</v>
      </c>
      <c r="G83" t="s">
        <v>165</v>
      </c>
      <c r="I83" t="s">
        <v>173</v>
      </c>
      <c r="J83" s="22">
        <v>0.0158</v>
      </c>
      <c r="K83" s="22">
        <v>0.0158</v>
      </c>
      <c r="L83" s="22">
        <v>0.0158</v>
      </c>
      <c r="M83" s="22">
        <v>0.0158</v>
      </c>
      <c r="N83" s="22">
        <v>0.0158</v>
      </c>
      <c r="O83" s="22">
        <v>0.0158</v>
      </c>
      <c r="P83" s="22">
        <v>0.0158</v>
      </c>
      <c r="Q83" s="22">
        <v>0.0158</v>
      </c>
      <c r="R83" s="22">
        <v>0.0158</v>
      </c>
      <c r="S83" s="22">
        <v>0.0158</v>
      </c>
      <c r="AJ83">
        <v>0</v>
      </c>
    </row>
    <row r="84" spans="1:36" x14ac:dyDescent="0.25">
      <c r="A84" t="s">
        <v>135</v>
      </c>
      <c r="B84" t="s">
        <v>174</v>
      </c>
      <c r="C84" t="s">
        <v>24</v>
      </c>
      <c r="D84" t="s">
        <v>25</v>
      </c>
      <c r="E84" t="s">
        <v>26</v>
      </c>
      <c r="F84" s="1" t="s">
        <v>137</v>
      </c>
      <c r="G84" t="s">
        <v>175</v>
      </c>
      <c r="I84" t="s">
        <v>28</v>
      </c>
      <c r="J84" s="22">
        <v>0.0335</v>
      </c>
      <c r="K84" s="22">
        <v>0.0335</v>
      </c>
      <c r="L84" s="22">
        <v>0.0335</v>
      </c>
      <c r="M84" s="22">
        <v>0.0335</v>
      </c>
      <c r="N84" s="22">
        <v>0.0335</v>
      </c>
      <c r="O84" s="22">
        <v>0.0335</v>
      </c>
      <c r="P84" s="22">
        <v>0.0335</v>
      </c>
      <c r="Q84" s="22">
        <v>0.0335</v>
      </c>
      <c r="R84" s="22">
        <v>0.0335</v>
      </c>
      <c r="S84" s="22">
        <v>0.0335</v>
      </c>
      <c r="AJ84">
        <v>0</v>
      </c>
    </row>
    <row r="85" spans="1:36" x14ac:dyDescent="0.25">
      <c r="A85" t="s">
        <v>135</v>
      </c>
      <c r="B85" t="s">
        <v>174</v>
      </c>
      <c r="C85" t="s">
        <v>24</v>
      </c>
      <c r="D85" t="s">
        <v>25</v>
      </c>
      <c r="E85" t="s">
        <v>143</v>
      </c>
      <c r="F85" s="1" t="s">
        <v>137</v>
      </c>
      <c r="G85" t="s">
        <v>175</v>
      </c>
      <c r="I85" t="s">
        <v>144</v>
      </c>
      <c r="J85" s="22">
        <v>0.0251</v>
      </c>
      <c r="K85" s="22">
        <v>0.0251</v>
      </c>
      <c r="L85" s="22">
        <v>0.0251</v>
      </c>
      <c r="M85" s="22">
        <v>0.0251</v>
      </c>
      <c r="N85" s="22">
        <v>0.0251</v>
      </c>
      <c r="O85" s="22">
        <v>0.0251</v>
      </c>
      <c r="P85" s="22">
        <v>0.0251</v>
      </c>
      <c r="Q85" s="22">
        <v>0.0251</v>
      </c>
      <c r="R85" s="22">
        <v>0.0251</v>
      </c>
      <c r="S85" s="22">
        <v>0.0251</v>
      </c>
      <c r="AJ85">
        <v>0</v>
      </c>
    </row>
    <row r="86" spans="1:36" x14ac:dyDescent="0.25">
      <c r="A86" t="s">
        <v>135</v>
      </c>
      <c r="B86" t="s">
        <v>174</v>
      </c>
      <c r="C86" t="s">
        <v>24</v>
      </c>
      <c r="D86" t="s">
        <v>25</v>
      </c>
      <c r="E86" t="s">
        <v>139</v>
      </c>
      <c r="F86" s="1" t="s">
        <v>137</v>
      </c>
      <c r="G86" t="s">
        <v>175</v>
      </c>
      <c r="I86" t="s">
        <v>140</v>
      </c>
      <c r="J86" s="22">
        <v>0.009</v>
      </c>
      <c r="K86" s="22">
        <v>0.009</v>
      </c>
      <c r="L86" s="22">
        <v>0.009</v>
      </c>
      <c r="M86" s="22">
        <v>0.009</v>
      </c>
      <c r="N86" s="22">
        <v>0.009</v>
      </c>
      <c r="O86" s="22">
        <v>0.009</v>
      </c>
      <c r="P86" s="22">
        <v>0.009</v>
      </c>
      <c r="Q86" s="22">
        <v>0.009</v>
      </c>
      <c r="R86" s="22">
        <v>0.009</v>
      </c>
      <c r="S86" s="22">
        <v>0.009</v>
      </c>
      <c r="AJ86">
        <v>0</v>
      </c>
    </row>
    <row r="87" spans="1:36" x14ac:dyDescent="0.25">
      <c r="A87" t="s">
        <v>176</v>
      </c>
      <c r="B87" t="s">
        <v>24</v>
      </c>
      <c r="C87" t="s">
        <v>24</v>
      </c>
      <c r="D87" t="s">
        <v>25</v>
      </c>
      <c r="E87" t="s">
        <v>26</v>
      </c>
      <c r="F87" s="1" t="s">
        <v>177</v>
      </c>
      <c r="I87" t="s">
        <v>28</v>
      </c>
      <c r="J87" s="22">
        <v>0.7</v>
      </c>
      <c r="K87" s="22">
        <v>0.7</v>
      </c>
      <c r="L87" s="22">
        <v>0.7</v>
      </c>
      <c r="M87" s="22">
        <v>0.7</v>
      </c>
      <c r="N87" s="22">
        <v>0.7</v>
      </c>
      <c r="O87" s="22">
        <v>0.7</v>
      </c>
      <c r="P87" s="22">
        <v>0.7</v>
      </c>
      <c r="Q87" s="22">
        <v>0.7</v>
      </c>
      <c r="R87" s="22">
        <v>0.7</v>
      </c>
      <c r="S87" s="22">
        <v>0.7</v>
      </c>
      <c r="AJ87">
        <v>0</v>
      </c>
    </row>
    <row r="88" spans="1:36" x14ac:dyDescent="0.25">
      <c r="A88" t="s">
        <v>176</v>
      </c>
      <c r="B88" t="s">
        <v>24</v>
      </c>
      <c r="C88" t="s">
        <v>24</v>
      </c>
      <c r="D88" t="s">
        <v>32</v>
      </c>
      <c r="E88" t="s">
        <v>26</v>
      </c>
      <c r="F88" s="1" t="s">
        <v>177</v>
      </c>
      <c r="I88" t="s">
        <v>178</v>
      </c>
      <c r="J88" s="22">
        <v>0.3</v>
      </c>
      <c r="K88" s="22">
        <v>0.3</v>
      </c>
      <c r="L88" s="22">
        <v>0.3</v>
      </c>
      <c r="M88" s="22">
        <v>0.3</v>
      </c>
      <c r="N88" s="22">
        <v>0.3</v>
      </c>
      <c r="O88" s="22">
        <v>0.3</v>
      </c>
      <c r="P88" s="22">
        <v>0.3</v>
      </c>
      <c r="Q88" s="22">
        <v>0.3</v>
      </c>
      <c r="R88" s="22">
        <v>0.3</v>
      </c>
      <c r="S88" s="22">
        <v>0.3</v>
      </c>
      <c r="AJ88">
        <v>1</v>
      </c>
    </row>
    <row r="89" spans="1:36" x14ac:dyDescent="0.25">
      <c r="A89" t="s">
        <v>179</v>
      </c>
      <c r="B89" t="s">
        <v>24</v>
      </c>
      <c r="C89" t="s">
        <v>24</v>
      </c>
      <c r="D89" t="s">
        <v>25</v>
      </c>
      <c r="E89" t="s">
        <v>26</v>
      </c>
      <c r="F89" s="1" t="s">
        <v>180</v>
      </c>
      <c r="I89" t="s">
        <v>28</v>
      </c>
      <c r="J89" s="22">
        <v>0.27</v>
      </c>
      <c r="K89" s="22">
        <v>0.35</v>
      </c>
      <c r="L89" s="22">
        <v>0.27</v>
      </c>
      <c r="M89" s="22">
        <v>1</v>
      </c>
      <c r="N89" s="22">
        <v>0.27</v>
      </c>
      <c r="O89" s="22">
        <v>0.27</v>
      </c>
      <c r="P89" s="22">
        <v>0.27</v>
      </c>
      <c r="Q89" s="22">
        <v>0.27</v>
      </c>
      <c r="R89" s="22">
        <v>0.27</v>
      </c>
      <c r="S89" s="22">
        <v>0.27</v>
      </c>
      <c r="AJ89">
        <v>0</v>
      </c>
    </row>
    <row r="90" spans="1:36" x14ac:dyDescent="0.25">
      <c r="A90" t="s">
        <v>179</v>
      </c>
      <c r="B90" t="s">
        <v>24</v>
      </c>
      <c r="C90" t="s">
        <v>24</v>
      </c>
      <c r="D90" t="s">
        <v>181</v>
      </c>
      <c r="E90" t="s">
        <v>26</v>
      </c>
      <c r="F90" s="1" t="s">
        <v>180</v>
      </c>
      <c r="I90" t="s">
        <v>182</v>
      </c>
      <c r="J90" s="22">
        <v>0.1</v>
      </c>
      <c r="K90" s="22">
        <v>0.1</v>
      </c>
      <c r="L90" s="22">
        <v>0.1</v>
      </c>
      <c r="M90" s="22">
        <v>0</v>
      </c>
      <c r="N90" s="22">
        <v>0.1</v>
      </c>
      <c r="O90" s="22">
        <v>0.1</v>
      </c>
      <c r="P90" s="22">
        <v>0.1</v>
      </c>
      <c r="Q90" s="22">
        <v>0.1</v>
      </c>
      <c r="R90" s="22">
        <v>0.1</v>
      </c>
      <c r="S90" s="22">
        <v>0.1</v>
      </c>
      <c r="AJ90">
        <v>0</v>
      </c>
    </row>
    <row r="91" spans="1:36" x14ac:dyDescent="0.25">
      <c r="A91" t="s">
        <v>179</v>
      </c>
      <c r="B91" t="s">
        <v>24</v>
      </c>
      <c r="C91" t="s">
        <v>24</v>
      </c>
      <c r="D91" t="s">
        <v>183</v>
      </c>
      <c r="E91" t="s">
        <v>26</v>
      </c>
      <c r="F91" s="1" t="s">
        <v>180</v>
      </c>
      <c r="I91" t="s">
        <v>184</v>
      </c>
      <c r="J91" s="22">
        <v>0</v>
      </c>
      <c r="K91" s="22">
        <v>0</v>
      </c>
      <c r="L91" s="22">
        <v>0</v>
      </c>
      <c r="M91" s="22">
        <v>0</v>
      </c>
      <c r="N91" s="22">
        <v>0</v>
      </c>
      <c r="O91" s="22">
        <v>0</v>
      </c>
      <c r="P91" s="22">
        <v>0</v>
      </c>
      <c r="Q91" s="22">
        <v>0</v>
      </c>
      <c r="R91" s="22">
        <v>0</v>
      </c>
      <c r="S91" s="22">
        <v>0</v>
      </c>
      <c r="AJ91">
        <v>0</v>
      </c>
    </row>
    <row r="92" spans="1:36" x14ac:dyDescent="0.25">
      <c r="A92" t="s">
        <v>179</v>
      </c>
      <c r="B92" t="s">
        <v>24</v>
      </c>
      <c r="C92" t="s">
        <v>24</v>
      </c>
      <c r="D92" t="s">
        <v>185</v>
      </c>
      <c r="E92" t="s">
        <v>54</v>
      </c>
      <c r="F92" s="1" t="s">
        <v>180</v>
      </c>
      <c r="I92" t="s">
        <v>186</v>
      </c>
      <c r="J92" s="22">
        <v>0.07</v>
      </c>
      <c r="K92" s="22">
        <v>0.55</v>
      </c>
      <c r="L92" s="22">
        <v>0.07</v>
      </c>
      <c r="M92" s="22">
        <v>0</v>
      </c>
      <c r="N92" s="22">
        <v>0.07</v>
      </c>
      <c r="O92" s="22">
        <v>0.07</v>
      </c>
      <c r="P92" s="22">
        <v>0.07</v>
      </c>
      <c r="Q92" s="22">
        <v>0.07</v>
      </c>
      <c r="R92" s="22">
        <v>0.07</v>
      </c>
      <c r="S92" s="22">
        <v>0.07</v>
      </c>
      <c r="AJ92">
        <v>0</v>
      </c>
    </row>
    <row r="93" spans="1:36" x14ac:dyDescent="0.25">
      <c r="A93" t="s">
        <v>179</v>
      </c>
      <c r="B93" t="s">
        <v>24</v>
      </c>
      <c r="C93" t="s">
        <v>24</v>
      </c>
      <c r="D93" t="s">
        <v>187</v>
      </c>
      <c r="E93" t="s">
        <v>26</v>
      </c>
      <c r="F93" s="1" t="s">
        <v>180</v>
      </c>
      <c r="I93" t="s">
        <v>188</v>
      </c>
      <c r="J93" s="22">
        <v>0.17</v>
      </c>
      <c r="K93" s="22">
        <v>0</v>
      </c>
      <c r="L93" s="22">
        <v>0.17</v>
      </c>
      <c r="M93" s="22">
        <v>0</v>
      </c>
      <c r="N93" s="22">
        <v>0.17</v>
      </c>
      <c r="O93" s="22">
        <v>0.17</v>
      </c>
      <c r="P93" s="22">
        <v>0.17</v>
      </c>
      <c r="Q93" s="22">
        <v>0.17</v>
      </c>
      <c r="R93" s="22">
        <v>0.17</v>
      </c>
      <c r="S93" s="22">
        <v>0.17</v>
      </c>
      <c r="AJ93">
        <v>0</v>
      </c>
    </row>
    <row r="94" spans="1:36" x14ac:dyDescent="0.25">
      <c r="A94" t="s">
        <v>179</v>
      </c>
      <c r="B94" t="s">
        <v>24</v>
      </c>
      <c r="C94" t="s">
        <v>24</v>
      </c>
      <c r="D94" t="s">
        <v>189</v>
      </c>
      <c r="E94" t="s">
        <v>54</v>
      </c>
      <c r="F94" s="1" t="s">
        <v>180</v>
      </c>
      <c r="I94" t="s">
        <v>190</v>
      </c>
      <c r="J94" s="22">
        <v>0.39</v>
      </c>
      <c r="K94" s="22">
        <v>0</v>
      </c>
      <c r="L94" s="22">
        <v>0.39</v>
      </c>
      <c r="M94" s="22">
        <v>0</v>
      </c>
      <c r="N94" s="22">
        <v>0.39</v>
      </c>
      <c r="O94" s="22">
        <v>0.39</v>
      </c>
      <c r="P94" s="22">
        <v>0.39</v>
      </c>
      <c r="Q94" s="22">
        <v>0.39</v>
      </c>
      <c r="R94" s="22">
        <v>0.39</v>
      </c>
      <c r="S94" s="22">
        <v>0.39</v>
      </c>
      <c r="AJ94">
        <v>0</v>
      </c>
    </row>
    <row r="95" spans="1:36" x14ac:dyDescent="0.25">
      <c r="A95" t="s">
        <v>191</v>
      </c>
      <c r="B95" t="s">
        <v>192</v>
      </c>
      <c r="C95" t="s">
        <v>24</v>
      </c>
      <c r="D95" t="s">
        <v>25</v>
      </c>
      <c r="E95" t="s">
        <v>26</v>
      </c>
      <c r="F95" s="1" t="s">
        <v>193</v>
      </c>
      <c r="G95" t="s">
        <v>194</v>
      </c>
      <c r="I95" t="s">
        <v>28</v>
      </c>
      <c r="J95" s="22">
        <v>0.38</v>
      </c>
      <c r="K95" s="22">
        <v>0.434</v>
      </c>
      <c r="L95" s="22">
        <v>0.52</v>
      </c>
      <c r="M95" s="22">
        <v>0.38</v>
      </c>
      <c r="N95" s="22">
        <v>0.38</v>
      </c>
      <c r="O95" s="22">
        <v>0.9</v>
      </c>
      <c r="P95" s="22">
        <v>0.38</v>
      </c>
      <c r="Q95" s="22">
        <v>0.38</v>
      </c>
      <c r="R95" s="22">
        <v>0.38</v>
      </c>
      <c r="S95" s="22">
        <v>0.38</v>
      </c>
      <c r="AJ95">
        <v>0</v>
      </c>
    </row>
    <row r="96" spans="1:36" x14ac:dyDescent="0.25">
      <c r="A96" t="s">
        <v>191</v>
      </c>
      <c r="B96" t="s">
        <v>192</v>
      </c>
      <c r="C96" t="s">
        <v>24</v>
      </c>
      <c r="D96" t="s">
        <v>25</v>
      </c>
      <c r="E96" t="s">
        <v>143</v>
      </c>
      <c r="F96" s="1" t="s">
        <v>193</v>
      </c>
      <c r="G96" t="s">
        <v>194</v>
      </c>
      <c r="I96" t="s">
        <v>144</v>
      </c>
      <c r="J96" s="22">
        <v>0.494</v>
      </c>
      <c r="K96" s="22">
        <v>0.358</v>
      </c>
      <c r="L96" s="22">
        <v>0.47</v>
      </c>
      <c r="M96" s="22">
        <v>0.494</v>
      </c>
      <c r="N96" s="22">
        <v>0.494</v>
      </c>
      <c r="O96" s="22">
        <v>0</v>
      </c>
      <c r="P96" s="22">
        <v>0.494</v>
      </c>
      <c r="Q96" s="22">
        <v>0.494</v>
      </c>
      <c r="R96" s="22">
        <v>0.494</v>
      </c>
      <c r="S96" s="22">
        <v>0.494</v>
      </c>
      <c r="AJ96">
        <v>0</v>
      </c>
    </row>
    <row r="97" spans="1:36" x14ac:dyDescent="0.25">
      <c r="A97" t="s">
        <v>191</v>
      </c>
      <c r="B97" t="s">
        <v>195</v>
      </c>
      <c r="C97" t="s">
        <v>24</v>
      </c>
      <c r="D97" t="s">
        <v>196</v>
      </c>
      <c r="E97" t="s">
        <v>26</v>
      </c>
      <c r="F97" s="1" t="s">
        <v>193</v>
      </c>
      <c r="G97" t="s">
        <v>197</v>
      </c>
      <c r="I97" t="s">
        <v>198</v>
      </c>
      <c r="J97" s="22">
        <v>0.073</v>
      </c>
      <c r="K97" s="22">
        <v>0.134</v>
      </c>
      <c r="L97" s="22">
        <v>0.01</v>
      </c>
      <c r="M97" s="22">
        <v>0.073</v>
      </c>
      <c r="N97" s="22">
        <v>0.073</v>
      </c>
      <c r="O97" s="22">
        <v>0.1</v>
      </c>
      <c r="P97" s="22">
        <v>0.073</v>
      </c>
      <c r="Q97" s="22">
        <v>0.073</v>
      </c>
      <c r="R97" s="22">
        <v>0.073</v>
      </c>
      <c r="S97" s="22">
        <v>0.073</v>
      </c>
      <c r="AJ97">
        <v>0</v>
      </c>
    </row>
    <row r="98" spans="1:36" x14ac:dyDescent="0.25">
      <c r="A98" t="s">
        <v>191</v>
      </c>
      <c r="B98" t="s">
        <v>195</v>
      </c>
      <c r="C98" t="s">
        <v>24</v>
      </c>
      <c r="D98" t="s">
        <v>199</v>
      </c>
      <c r="E98" t="s">
        <v>26</v>
      </c>
      <c r="F98" s="1" t="s">
        <v>193</v>
      </c>
      <c r="G98" t="s">
        <v>197</v>
      </c>
      <c r="I98" t="s">
        <v>200</v>
      </c>
      <c r="J98" s="22">
        <v>0.053</v>
      </c>
      <c r="K98" s="22">
        <v>0.074</v>
      </c>
      <c r="L98" s="22">
        <v>0</v>
      </c>
      <c r="M98" s="22">
        <v>0.053</v>
      </c>
      <c r="N98" s="22">
        <v>0.053</v>
      </c>
      <c r="O98" s="22">
        <v>0</v>
      </c>
      <c r="P98" s="22">
        <v>0.053</v>
      </c>
      <c r="Q98" s="22">
        <v>0.053</v>
      </c>
      <c r="R98" s="22">
        <v>0.053</v>
      </c>
      <c r="S98" s="22">
        <v>0.053</v>
      </c>
      <c r="AJ98">
        <v>0</v>
      </c>
    </row>
    <row r="99" spans="1:36" x14ac:dyDescent="0.25">
      <c r="A99" t="s">
        <v>201</v>
      </c>
      <c r="B99" t="s">
        <v>24</v>
      </c>
      <c r="C99" t="s">
        <v>24</v>
      </c>
      <c r="D99" t="s">
        <v>202</v>
      </c>
      <c r="E99" t="s">
        <v>26</v>
      </c>
      <c r="F99" s="1" t="s">
        <v>203</v>
      </c>
      <c r="I99" t="s">
        <v>204</v>
      </c>
      <c r="J99" s="22">
        <v>1</v>
      </c>
      <c r="K99" s="22">
        <v>1</v>
      </c>
      <c r="L99" s="22">
        <v>1</v>
      </c>
      <c r="M99" s="22">
        <v>1</v>
      </c>
      <c r="N99" s="22">
        <v>1</v>
      </c>
      <c r="O99" s="22">
        <v>1</v>
      </c>
      <c r="P99" s="22">
        <v>1</v>
      </c>
      <c r="Q99" s="22">
        <v>1</v>
      </c>
      <c r="R99" s="22">
        <v>1</v>
      </c>
      <c r="S99" s="22">
        <v>1</v>
      </c>
      <c r="AJ99">
        <v>0</v>
      </c>
    </row>
    <row r="100" spans="1:36" x14ac:dyDescent="0.25">
      <c r="A100" t="s">
        <v>205</v>
      </c>
      <c r="B100" t="s">
        <v>24</v>
      </c>
      <c r="C100" t="s">
        <v>24</v>
      </c>
      <c r="D100" t="s">
        <v>206</v>
      </c>
      <c r="E100" t="s">
        <v>26</v>
      </c>
      <c r="F100" s="1" t="s">
        <v>207</v>
      </c>
      <c r="I100" t="s">
        <v>208</v>
      </c>
      <c r="J100" s="22">
        <v>1</v>
      </c>
      <c r="K100" s="22">
        <v>1</v>
      </c>
      <c r="L100" s="22">
        <v>1</v>
      </c>
      <c r="M100" s="22">
        <v>1</v>
      </c>
      <c r="N100" s="22">
        <v>1</v>
      </c>
      <c r="O100" s="22">
        <v>1</v>
      </c>
      <c r="P100" s="22">
        <v>1</v>
      </c>
      <c r="Q100" s="22">
        <v>1</v>
      </c>
      <c r="R100" s="22">
        <v>1</v>
      </c>
      <c r="S100" s="22">
        <v>1</v>
      </c>
      <c r="AJ100">
        <v>0</v>
      </c>
    </row>
    <row r="101" spans="1:36" x14ac:dyDescent="0.25">
      <c r="A101" t="s">
        <v>209</v>
      </c>
      <c r="B101" t="s">
        <v>24</v>
      </c>
      <c r="C101" t="s">
        <v>24</v>
      </c>
      <c r="D101" t="s">
        <v>210</v>
      </c>
      <c r="E101" t="s">
        <v>54</v>
      </c>
      <c r="F101" s="1" t="s">
        <v>211</v>
      </c>
      <c r="I101" t="s">
        <v>212</v>
      </c>
      <c r="J101" s="22">
        <v>1</v>
      </c>
      <c r="K101" s="22">
        <v>1</v>
      </c>
      <c r="L101" s="22">
        <v>1</v>
      </c>
      <c r="M101" s="22">
        <v>1</v>
      </c>
      <c r="N101" s="22">
        <v>1</v>
      </c>
      <c r="O101" s="22">
        <v>1</v>
      </c>
      <c r="P101" s="22">
        <v>1</v>
      </c>
      <c r="Q101" s="22">
        <v>1</v>
      </c>
      <c r="R101" s="22">
        <v>1</v>
      </c>
      <c r="S101" s="22">
        <v>1</v>
      </c>
      <c r="AJ101">
        <v>0</v>
      </c>
    </row>
    <row r="102" spans="1:36" x14ac:dyDescent="0.25">
      <c r="A102" t="s">
        <v>213</v>
      </c>
      <c r="B102" t="s">
        <v>24</v>
      </c>
      <c r="C102" t="s">
        <v>24</v>
      </c>
      <c r="D102" t="s">
        <v>25</v>
      </c>
      <c r="E102" t="s">
        <v>26</v>
      </c>
      <c r="F102" s="1" t="s">
        <v>214</v>
      </c>
      <c r="I102" t="s">
        <v>28</v>
      </c>
      <c r="J102" s="22">
        <v>1</v>
      </c>
      <c r="K102" s="22">
        <v>1</v>
      </c>
      <c r="L102" s="22">
        <v>1</v>
      </c>
      <c r="M102" s="22">
        <v>1</v>
      </c>
      <c r="N102" s="22">
        <v>1</v>
      </c>
      <c r="O102" s="22">
        <v>1</v>
      </c>
      <c r="P102" s="22">
        <v>1</v>
      </c>
      <c r="Q102" s="22">
        <v>1</v>
      </c>
      <c r="R102" s="22">
        <v>1</v>
      </c>
      <c r="S102" s="22">
        <v>1</v>
      </c>
      <c r="AJ102">
        <v>0</v>
      </c>
    </row>
    <row r="103" spans="1:36" x14ac:dyDescent="0.25">
      <c r="A103" t="s">
        <v>215</v>
      </c>
      <c r="B103" t="s">
        <v>24</v>
      </c>
      <c r="C103" t="s">
        <v>24</v>
      </c>
      <c r="D103" t="s">
        <v>25</v>
      </c>
      <c r="E103" t="s">
        <v>26</v>
      </c>
      <c r="F103" s="1" t="s">
        <v>216</v>
      </c>
      <c r="I103" t="s">
        <v>28</v>
      </c>
      <c r="J103" s="22">
        <v>1</v>
      </c>
      <c r="K103" s="22">
        <v>1</v>
      </c>
      <c r="L103" s="22">
        <v>1</v>
      </c>
      <c r="M103" s="22">
        <v>1</v>
      </c>
      <c r="N103" s="22">
        <v>1</v>
      </c>
      <c r="O103" s="22">
        <v>1</v>
      </c>
      <c r="P103" s="22">
        <v>1</v>
      </c>
      <c r="Q103" s="22">
        <v>1</v>
      </c>
      <c r="R103" s="22">
        <v>1</v>
      </c>
      <c r="S103" s="22">
        <v>1</v>
      </c>
      <c r="AJ103">
        <v>0</v>
      </c>
    </row>
    <row r="104" spans="1:36" x14ac:dyDescent="0.25">
      <c r="A104" t="s">
        <v>217</v>
      </c>
      <c r="B104" t="s">
        <v>24</v>
      </c>
      <c r="C104" t="s">
        <v>24</v>
      </c>
      <c r="D104" t="s">
        <v>25</v>
      </c>
      <c r="E104" t="s">
        <v>26</v>
      </c>
      <c r="F104" s="1" t="s">
        <v>218</v>
      </c>
      <c r="I104" t="s">
        <v>28</v>
      </c>
      <c r="J104" s="22">
        <v>1</v>
      </c>
      <c r="K104" s="22">
        <v>1</v>
      </c>
      <c r="L104" s="22">
        <v>1</v>
      </c>
      <c r="M104" s="22">
        <v>1</v>
      </c>
      <c r="N104" s="22">
        <v>1</v>
      </c>
      <c r="O104" s="22">
        <v>1</v>
      </c>
      <c r="P104" s="22">
        <v>1</v>
      </c>
      <c r="Q104" s="22">
        <v>1</v>
      </c>
      <c r="R104" s="22">
        <v>1</v>
      </c>
      <c r="S104" s="22">
        <v>1</v>
      </c>
      <c r="AJ104">
        <v>0</v>
      </c>
    </row>
    <row r="105" spans="1:36" x14ac:dyDescent="0.25">
      <c r="A105" t="s">
        <v>219</v>
      </c>
      <c r="B105" t="s">
        <v>24</v>
      </c>
      <c r="C105" t="s">
        <v>24</v>
      </c>
      <c r="D105" t="s">
        <v>42</v>
      </c>
      <c r="E105" t="s">
        <v>26</v>
      </c>
      <c r="F105" s="1" t="s">
        <v>220</v>
      </c>
      <c r="I105" t="s">
        <v>44</v>
      </c>
      <c r="J105" s="22">
        <v>0.958</v>
      </c>
      <c r="K105" s="22">
        <v>0.1722</v>
      </c>
      <c r="L105" s="22">
        <v>0</v>
      </c>
      <c r="M105" s="22">
        <v>0.958</v>
      </c>
      <c r="N105" s="22">
        <v>0.958</v>
      </c>
      <c r="O105" s="22">
        <v>0.958</v>
      </c>
      <c r="P105" s="22">
        <v>0.958</v>
      </c>
      <c r="Q105" s="22">
        <v>0.958</v>
      </c>
      <c r="R105" s="22">
        <v>0.958</v>
      </c>
      <c r="S105" s="22">
        <v>0.958</v>
      </c>
      <c r="AJ105">
        <v>0</v>
      </c>
    </row>
    <row r="106" spans="1:36" x14ac:dyDescent="0.25">
      <c r="A106" t="s">
        <v>219</v>
      </c>
      <c r="B106" t="s">
        <v>24</v>
      </c>
      <c r="C106" t="s">
        <v>24</v>
      </c>
      <c r="D106" t="s">
        <v>221</v>
      </c>
      <c r="E106" t="s">
        <v>54</v>
      </c>
      <c r="F106" s="1" t="s">
        <v>220</v>
      </c>
      <c r="I106" t="s">
        <v>222</v>
      </c>
      <c r="J106" s="22">
        <v>0.005</v>
      </c>
      <c r="K106" s="22">
        <v>0.0004</v>
      </c>
      <c r="L106" s="22">
        <v>0</v>
      </c>
      <c r="M106" s="22">
        <v>0.005</v>
      </c>
      <c r="N106" s="22">
        <v>0.005</v>
      </c>
      <c r="O106" s="22">
        <v>0.005</v>
      </c>
      <c r="P106" s="22">
        <v>0.005</v>
      </c>
      <c r="Q106" s="22">
        <v>0.005</v>
      </c>
      <c r="R106" s="22">
        <v>0.005</v>
      </c>
      <c r="S106" s="22">
        <v>0.005</v>
      </c>
      <c r="AJ106">
        <v>0</v>
      </c>
    </row>
    <row r="107" spans="1:36" x14ac:dyDescent="0.25">
      <c r="A107" t="s">
        <v>219</v>
      </c>
      <c r="B107" t="s">
        <v>24</v>
      </c>
      <c r="C107" t="s">
        <v>24</v>
      </c>
      <c r="D107" t="s">
        <v>223</v>
      </c>
      <c r="E107" t="s">
        <v>54</v>
      </c>
      <c r="F107" s="1" t="s">
        <v>220</v>
      </c>
      <c r="I107" t="s">
        <v>224</v>
      </c>
      <c r="J107" s="22">
        <v>0.037</v>
      </c>
      <c r="K107" s="22">
        <v>0.0124</v>
      </c>
      <c r="L107" s="22">
        <v>0</v>
      </c>
      <c r="M107" s="22">
        <v>0.037</v>
      </c>
      <c r="N107" s="22">
        <v>0.037</v>
      </c>
      <c r="O107" s="22">
        <v>0.037</v>
      </c>
      <c r="P107" s="22">
        <v>0.037</v>
      </c>
      <c r="Q107" s="22">
        <v>0.037</v>
      </c>
      <c r="R107" s="22">
        <v>0.037</v>
      </c>
      <c r="S107" s="22">
        <v>0.037</v>
      </c>
      <c r="AJ107">
        <v>0</v>
      </c>
    </row>
    <row r="108" spans="1:36" x14ac:dyDescent="0.25">
      <c r="A108" t="s">
        <v>219</v>
      </c>
      <c r="B108" t="s">
        <v>24</v>
      </c>
      <c r="C108" t="s">
        <v>24</v>
      </c>
      <c r="D108" t="s">
        <v>225</v>
      </c>
      <c r="E108" t="s">
        <v>226</v>
      </c>
      <c r="F108" s="1" t="s">
        <v>220</v>
      </c>
      <c r="I108" t="s">
        <v>227</v>
      </c>
      <c r="J108" s="22">
        <v>0</v>
      </c>
      <c r="K108" s="22">
        <v>0.815</v>
      </c>
      <c r="L108" s="22">
        <v>1</v>
      </c>
      <c r="M108" s="22">
        <v>0</v>
      </c>
      <c r="N108" s="22">
        <v>0</v>
      </c>
      <c r="O108" s="22">
        <v>0</v>
      </c>
      <c r="P108" s="22">
        <v>0</v>
      </c>
      <c r="Q108" s="22">
        <v>0</v>
      </c>
      <c r="R108" s="22">
        <v>0</v>
      </c>
      <c r="S108" s="22">
        <v>0</v>
      </c>
      <c r="AJ108">
        <v>0</v>
      </c>
    </row>
    <row r="109" spans="1:36" x14ac:dyDescent="0.25">
      <c r="A109" t="s">
        <v>228</v>
      </c>
      <c r="B109" t="s">
        <v>24</v>
      </c>
      <c r="C109" t="s">
        <v>24</v>
      </c>
      <c r="D109" t="s">
        <v>229</v>
      </c>
      <c r="E109" t="s">
        <v>26</v>
      </c>
      <c r="F109" s="1" t="s">
        <v>230</v>
      </c>
      <c r="I109" t="s">
        <v>231</v>
      </c>
      <c r="J109" s="22">
        <v>1</v>
      </c>
      <c r="K109" s="22">
        <v>1</v>
      </c>
      <c r="L109" s="22">
        <v>1</v>
      </c>
      <c r="M109" s="22">
        <v>1</v>
      </c>
      <c r="N109" s="22">
        <v>1</v>
      </c>
      <c r="O109" s="22">
        <v>1</v>
      </c>
      <c r="P109" s="22">
        <v>1</v>
      </c>
      <c r="Q109" s="22">
        <v>1</v>
      </c>
      <c r="R109" s="22">
        <v>1</v>
      </c>
      <c r="S109" s="22">
        <v>1</v>
      </c>
      <c r="AJ109">
        <v>0</v>
      </c>
    </row>
    <row r="110" spans="1:36" x14ac:dyDescent="0.25">
      <c r="A110" t="s">
        <v>232</v>
      </c>
      <c r="B110" t="s">
        <v>24</v>
      </c>
      <c r="C110" t="s">
        <v>24</v>
      </c>
      <c r="D110" t="s">
        <v>25</v>
      </c>
      <c r="E110" t="s">
        <v>26</v>
      </c>
      <c r="F110" s="1" t="s">
        <v>233</v>
      </c>
      <c r="I110" t="s">
        <v>28</v>
      </c>
      <c r="J110" s="22">
        <v>0.875</v>
      </c>
      <c r="K110" s="22">
        <v>0.875</v>
      </c>
      <c r="L110" s="22">
        <v>0.875</v>
      </c>
      <c r="M110" s="22">
        <v>0.875</v>
      </c>
      <c r="N110" s="22">
        <v>0.875</v>
      </c>
      <c r="O110" s="22">
        <v>0.875</v>
      </c>
      <c r="P110" s="22">
        <v>0.875</v>
      </c>
      <c r="Q110" s="22">
        <v>0.875</v>
      </c>
      <c r="R110" s="22">
        <v>0.875</v>
      </c>
      <c r="S110" s="22">
        <v>0.875</v>
      </c>
      <c r="AJ110">
        <v>0</v>
      </c>
    </row>
    <row r="111" spans="1:36" x14ac:dyDescent="0.25">
      <c r="A111" t="s">
        <v>232</v>
      </c>
      <c r="B111" t="s">
        <v>24</v>
      </c>
      <c r="C111" t="s">
        <v>24</v>
      </c>
      <c r="D111" t="s">
        <v>234</v>
      </c>
      <c r="E111" t="s">
        <v>26</v>
      </c>
      <c r="F111" s="1" t="s">
        <v>233</v>
      </c>
      <c r="I111" t="s">
        <v>235</v>
      </c>
      <c r="J111" s="22">
        <v>0.021</v>
      </c>
      <c r="K111" s="22">
        <v>0.021</v>
      </c>
      <c r="L111" s="22">
        <v>0.021</v>
      </c>
      <c r="M111" s="22">
        <v>0.021</v>
      </c>
      <c r="N111" s="22">
        <v>0.021</v>
      </c>
      <c r="O111" s="22">
        <v>0.021</v>
      </c>
      <c r="P111" s="22">
        <v>0.021</v>
      </c>
      <c r="Q111" s="22">
        <v>0.021</v>
      </c>
      <c r="R111" s="22">
        <v>0.021</v>
      </c>
      <c r="S111" s="22">
        <v>0.021</v>
      </c>
      <c r="AJ111">
        <v>0</v>
      </c>
    </row>
    <row r="112" spans="1:36" x14ac:dyDescent="0.25">
      <c r="A112" t="s">
        <v>232</v>
      </c>
      <c r="B112" t="s">
        <v>24</v>
      </c>
      <c r="C112" t="s">
        <v>24</v>
      </c>
      <c r="D112" t="s">
        <v>236</v>
      </c>
      <c r="E112" t="s">
        <v>26</v>
      </c>
      <c r="F112" s="1" t="s">
        <v>233</v>
      </c>
      <c r="I112" t="s">
        <v>237</v>
      </c>
      <c r="J112" s="22">
        <v>0.052</v>
      </c>
      <c r="K112" s="22">
        <v>0.052</v>
      </c>
      <c r="L112" s="22">
        <v>0.052</v>
      </c>
      <c r="M112" s="22">
        <v>0.052</v>
      </c>
      <c r="N112" s="22">
        <v>0.052</v>
      </c>
      <c r="O112" s="22">
        <v>0.052</v>
      </c>
      <c r="P112" s="22">
        <v>0.052</v>
      </c>
      <c r="Q112" s="22">
        <v>0.052</v>
      </c>
      <c r="R112" s="22">
        <v>0.052</v>
      </c>
      <c r="S112" s="22">
        <v>0.052</v>
      </c>
      <c r="AJ112">
        <v>0</v>
      </c>
    </row>
    <row r="113" spans="1:36" x14ac:dyDescent="0.25">
      <c r="A113" t="s">
        <v>232</v>
      </c>
      <c r="B113" t="s">
        <v>24</v>
      </c>
      <c r="C113" t="s">
        <v>24</v>
      </c>
      <c r="D113" t="s">
        <v>238</v>
      </c>
      <c r="E113" t="s">
        <v>54</v>
      </c>
      <c r="F113" s="1" t="s">
        <v>233</v>
      </c>
      <c r="I113" t="s">
        <v>239</v>
      </c>
      <c r="J113" s="22">
        <v>0.052</v>
      </c>
      <c r="K113" s="22">
        <v>0.052</v>
      </c>
      <c r="L113" s="22">
        <v>0.052</v>
      </c>
      <c r="M113" s="22">
        <v>0.052</v>
      </c>
      <c r="N113" s="22">
        <v>0.052</v>
      </c>
      <c r="O113" s="22">
        <v>0.052</v>
      </c>
      <c r="P113" s="22">
        <v>0.052</v>
      </c>
      <c r="Q113" s="22">
        <v>0.052</v>
      </c>
      <c r="R113" s="22">
        <v>0.052</v>
      </c>
      <c r="S113" s="22">
        <v>0.052</v>
      </c>
      <c r="AJ113">
        <v>0</v>
      </c>
    </row>
    <row r="114" spans="1:36" x14ac:dyDescent="0.25">
      <c r="A114" t="s">
        <v>240</v>
      </c>
      <c r="B114" t="s">
        <v>24</v>
      </c>
      <c r="C114" t="s">
        <v>24</v>
      </c>
      <c r="D114" t="s">
        <v>25</v>
      </c>
      <c r="E114" t="s">
        <v>26</v>
      </c>
      <c r="F114" s="1" t="s">
        <v>241</v>
      </c>
      <c r="I114" t="s">
        <v>28</v>
      </c>
      <c r="J114" s="22">
        <v>1</v>
      </c>
      <c r="K114" s="22">
        <v>1</v>
      </c>
      <c r="L114" s="22">
        <v>1</v>
      </c>
      <c r="M114" s="22">
        <v>1</v>
      </c>
      <c r="N114" s="22">
        <v>1</v>
      </c>
      <c r="O114" s="22">
        <v>1</v>
      </c>
      <c r="P114" s="22">
        <v>1</v>
      </c>
      <c r="Q114" s="22">
        <v>1</v>
      </c>
      <c r="R114" s="22">
        <v>1</v>
      </c>
      <c r="S114" s="22">
        <v>1</v>
      </c>
      <c r="AJ114">
        <v>0</v>
      </c>
    </row>
    <row r="115" spans="1:36" x14ac:dyDescent="0.25">
      <c r="A115" t="s">
        <v>242</v>
      </c>
      <c r="B115" t="s">
        <v>24</v>
      </c>
      <c r="C115" t="s">
        <v>24</v>
      </c>
      <c r="D115" t="s">
        <v>243</v>
      </c>
      <c r="E115" t="s">
        <v>26</v>
      </c>
      <c r="F115" s="1" t="s">
        <v>244</v>
      </c>
      <c r="I115" t="s">
        <v>245</v>
      </c>
      <c r="J115" s="22">
        <v>1</v>
      </c>
      <c r="K115" s="22">
        <v>1</v>
      </c>
      <c r="L115" s="22">
        <v>1</v>
      </c>
      <c r="M115" s="22">
        <v>1</v>
      </c>
      <c r="N115" s="22">
        <v>1</v>
      </c>
      <c r="O115" s="22">
        <v>1</v>
      </c>
      <c r="P115" s="22">
        <v>1</v>
      </c>
      <c r="Q115" s="22">
        <v>1</v>
      </c>
      <c r="R115" s="22">
        <v>1</v>
      </c>
      <c r="S115" s="22">
        <v>1</v>
      </c>
      <c r="AJ115">
        <v>0</v>
      </c>
    </row>
    <row r="116" spans="1:36" x14ac:dyDescent="0.25">
      <c r="A116" t="s">
        <v>246</v>
      </c>
      <c r="B116" t="s">
        <v>24</v>
      </c>
      <c r="C116" t="s">
        <v>24</v>
      </c>
      <c r="D116" t="s">
        <v>247</v>
      </c>
      <c r="E116" t="s">
        <v>26</v>
      </c>
      <c r="F116" s="1" t="s">
        <v>248</v>
      </c>
      <c r="I116" t="s">
        <v>249</v>
      </c>
      <c r="J116" s="22">
        <v>0.954</v>
      </c>
      <c r="K116" s="22">
        <v>0.954</v>
      </c>
      <c r="L116" s="22">
        <v>0.954</v>
      </c>
      <c r="M116" s="22">
        <v>0.954</v>
      </c>
      <c r="N116" s="22">
        <v>0.954</v>
      </c>
      <c r="O116" s="22">
        <v>0.954</v>
      </c>
      <c r="P116" s="22">
        <v>0.954</v>
      </c>
      <c r="Q116" s="22">
        <v>0.954</v>
      </c>
      <c r="R116" s="22">
        <v>0.954</v>
      </c>
      <c r="S116" s="22">
        <v>0.954</v>
      </c>
      <c r="AJ116">
        <v>0</v>
      </c>
    </row>
    <row r="117" spans="1:36" x14ac:dyDescent="0.25">
      <c r="A117" t="s">
        <v>246</v>
      </c>
      <c r="B117" t="s">
        <v>24</v>
      </c>
      <c r="C117" t="s">
        <v>24</v>
      </c>
      <c r="D117" t="s">
        <v>250</v>
      </c>
      <c r="E117" t="s">
        <v>26</v>
      </c>
      <c r="F117" s="1" t="s">
        <v>248</v>
      </c>
      <c r="I117" t="s">
        <v>251</v>
      </c>
      <c r="J117" s="22">
        <v>0.046</v>
      </c>
      <c r="K117" s="22">
        <v>0.046</v>
      </c>
      <c r="L117" s="22">
        <v>0.046</v>
      </c>
      <c r="M117" s="22">
        <v>0.046</v>
      </c>
      <c r="N117" s="22">
        <v>0.046</v>
      </c>
      <c r="O117" s="22">
        <v>0.046</v>
      </c>
      <c r="P117" s="22">
        <v>0.046</v>
      </c>
      <c r="Q117" s="22">
        <v>0.046</v>
      </c>
      <c r="R117" s="22">
        <v>0.046</v>
      </c>
      <c r="S117" s="22">
        <v>0.046</v>
      </c>
      <c r="AJ117">
        <v>0</v>
      </c>
    </row>
    <row r="118" spans="1:36" x14ac:dyDescent="0.25">
      <c r="A118" t="s">
        <v>252</v>
      </c>
      <c r="B118" t="s">
        <v>24</v>
      </c>
      <c r="C118" t="s">
        <v>24</v>
      </c>
      <c r="D118" t="s">
        <v>253</v>
      </c>
      <c r="E118" t="s">
        <v>26</v>
      </c>
      <c r="F118" s="1" t="s">
        <v>254</v>
      </c>
      <c r="I118" t="s">
        <v>255</v>
      </c>
      <c r="J118" s="22">
        <v>0.22</v>
      </c>
      <c r="K118" s="22">
        <v>0.22</v>
      </c>
      <c r="L118" s="22">
        <v>0.22</v>
      </c>
      <c r="M118" s="22">
        <v>0.22</v>
      </c>
      <c r="N118" s="22">
        <v>0.22</v>
      </c>
      <c r="O118" s="22">
        <v>0.22</v>
      </c>
      <c r="P118" s="22">
        <v>0.22</v>
      </c>
      <c r="Q118" s="22">
        <v>0.22</v>
      </c>
      <c r="R118" s="22">
        <v>0.22</v>
      </c>
      <c r="S118" s="22">
        <v>0.22</v>
      </c>
      <c r="AJ118">
        <v>0</v>
      </c>
    </row>
    <row r="119" spans="1:36" x14ac:dyDescent="0.25">
      <c r="A119" t="s">
        <v>252</v>
      </c>
      <c r="B119" t="s">
        <v>24</v>
      </c>
      <c r="C119" t="s">
        <v>24</v>
      </c>
      <c r="D119" t="s">
        <v>253</v>
      </c>
      <c r="E119" t="s">
        <v>54</v>
      </c>
      <c r="F119" s="1" t="s">
        <v>254</v>
      </c>
      <c r="I119" t="s">
        <v>256</v>
      </c>
      <c r="J119" s="22">
        <v>0.78</v>
      </c>
      <c r="K119" s="22">
        <v>0.78</v>
      </c>
      <c r="L119" s="22">
        <v>0.78</v>
      </c>
      <c r="M119" s="22">
        <v>0.78</v>
      </c>
      <c r="N119" s="22">
        <v>0.78</v>
      </c>
      <c r="O119" s="22">
        <v>0.78</v>
      </c>
      <c r="P119" s="22">
        <v>0.78</v>
      </c>
      <c r="Q119" s="22">
        <v>0.78</v>
      </c>
      <c r="R119" s="22">
        <v>0.78</v>
      </c>
      <c r="S119" s="22">
        <v>0.78</v>
      </c>
      <c r="AJ119">
        <v>0</v>
      </c>
    </row>
    <row r="120" spans="1:36" x14ac:dyDescent="0.25">
      <c r="A120" t="s">
        <v>257</v>
      </c>
      <c r="B120" t="s">
        <v>24</v>
      </c>
      <c r="C120" t="s">
        <v>24</v>
      </c>
      <c r="D120" t="s">
        <v>258</v>
      </c>
      <c r="E120" t="s">
        <v>26</v>
      </c>
      <c r="F120" s="1" t="s">
        <v>259</v>
      </c>
      <c r="I120" t="s">
        <v>260</v>
      </c>
      <c r="J120" s="22">
        <v>1</v>
      </c>
      <c r="K120" s="22">
        <v>1</v>
      </c>
      <c r="L120" s="22">
        <v>1</v>
      </c>
      <c r="M120" s="22">
        <v>1</v>
      </c>
      <c r="N120" s="22">
        <v>1</v>
      </c>
      <c r="O120" s="22">
        <v>1</v>
      </c>
      <c r="P120" s="22">
        <v>1</v>
      </c>
      <c r="Q120" s="22">
        <v>1</v>
      </c>
      <c r="R120" s="22">
        <v>1</v>
      </c>
      <c r="S120" s="22">
        <v>1</v>
      </c>
      <c r="AJ120">
        <v>0</v>
      </c>
    </row>
    <row r="121" spans="1:36" x14ac:dyDescent="0.25">
      <c r="A121" t="s">
        <v>261</v>
      </c>
      <c r="B121" t="s">
        <v>24</v>
      </c>
      <c r="C121" t="s">
        <v>24</v>
      </c>
      <c r="D121" t="s">
        <v>262</v>
      </c>
      <c r="E121" t="s">
        <v>26</v>
      </c>
      <c r="F121" s="1" t="s">
        <v>263</v>
      </c>
      <c r="I121" t="s">
        <v>264</v>
      </c>
      <c r="J121" s="22">
        <v>1</v>
      </c>
      <c r="K121" s="22">
        <v>1</v>
      </c>
      <c r="L121" s="22">
        <v>1</v>
      </c>
      <c r="M121" s="22">
        <v>1</v>
      </c>
      <c r="N121" s="22">
        <v>1</v>
      </c>
      <c r="O121" s="22">
        <v>1</v>
      </c>
      <c r="P121" s="22">
        <v>1</v>
      </c>
      <c r="Q121" s="22">
        <v>1</v>
      </c>
      <c r="R121" s="22">
        <v>1</v>
      </c>
      <c r="S121" s="22">
        <v>1</v>
      </c>
      <c r="AJ121">
        <v>0</v>
      </c>
    </row>
    <row r="122" spans="1:36" x14ac:dyDescent="0.25">
      <c r="A122" t="s">
        <v>265</v>
      </c>
      <c r="B122" t="s">
        <v>24</v>
      </c>
      <c r="C122" t="s">
        <v>24</v>
      </c>
      <c r="D122" t="s">
        <v>266</v>
      </c>
      <c r="E122" t="s">
        <v>26</v>
      </c>
      <c r="F122" s="1" t="s">
        <v>267</v>
      </c>
      <c r="I122" t="s">
        <v>268</v>
      </c>
      <c r="J122" s="22">
        <v>1</v>
      </c>
      <c r="K122" s="22">
        <v>1</v>
      </c>
      <c r="L122" s="22">
        <v>1</v>
      </c>
      <c r="M122" s="22">
        <v>1</v>
      </c>
      <c r="N122" s="22">
        <v>1</v>
      </c>
      <c r="O122" s="22">
        <v>1</v>
      </c>
      <c r="P122" s="22">
        <v>1</v>
      </c>
      <c r="Q122" s="22">
        <v>1</v>
      </c>
      <c r="R122" s="22">
        <v>1</v>
      </c>
      <c r="S122" s="22">
        <v>1</v>
      </c>
      <c r="AJ122">
        <v>0</v>
      </c>
    </row>
    <row r="123" spans="1:36" x14ac:dyDescent="0.25">
      <c r="A123" t="s">
        <v>269</v>
      </c>
      <c r="B123" t="s">
        <v>24</v>
      </c>
      <c r="C123" t="s">
        <v>24</v>
      </c>
      <c r="D123" t="s">
        <v>56</v>
      </c>
      <c r="E123" t="s">
        <v>54</v>
      </c>
      <c r="F123" s="1" t="s">
        <v>270</v>
      </c>
      <c r="I123" t="s">
        <v>271</v>
      </c>
      <c r="J123" s="22">
        <v>0.0057304964539007085</v>
      </c>
      <c r="K123" s="22">
        <v>0</v>
      </c>
      <c r="L123" s="22">
        <v>0.006365490310402477</v>
      </c>
      <c r="M123" s="22">
        <v>0.014418202321401863</v>
      </c>
      <c r="N123" s="22">
        <v>0.0066519731425947574</v>
      </c>
      <c r="O123" s="22">
        <v>0.005696030390481106</v>
      </c>
      <c r="P123" s="22">
        <v>0.006885413135307</v>
      </c>
      <c r="Q123" s="22">
        <v>0.006365490310402477</v>
      </c>
      <c r="R123" s="22">
        <v>0.006133375876981032</v>
      </c>
      <c r="S123" s="22">
        <v>0.006133093978657979</v>
      </c>
      <c r="AJ123">
        <v>0</v>
      </c>
    </row>
    <row r="124" spans="1:36" x14ac:dyDescent="0.25">
      <c r="A124" t="s">
        <v>269</v>
      </c>
      <c r="B124" t="s">
        <v>24</v>
      </c>
      <c r="C124" t="s">
        <v>24</v>
      </c>
      <c r="D124" t="s">
        <v>272</v>
      </c>
      <c r="E124" t="s">
        <v>26</v>
      </c>
      <c r="F124" s="1" t="s">
        <v>270</v>
      </c>
      <c r="I124" t="s">
        <v>273</v>
      </c>
      <c r="J124" s="22">
        <v>0.009085579196217494</v>
      </c>
      <c r="K124" s="22">
        <v>0.12198101019150848</v>
      </c>
      <c r="L124" s="22">
        <v>0.007051557792660351</v>
      </c>
      <c r="M124" s="22">
        <v>0.0009688139682180686</v>
      </c>
      <c r="N124" s="22">
        <v>0.007586445650464293</v>
      </c>
      <c r="O124" s="22">
        <v>0.006162760534067262</v>
      </c>
      <c r="P124" s="22">
        <v>0.0082624930123337</v>
      </c>
      <c r="Q124" s="22">
        <v>0.007051557792660351</v>
      </c>
      <c r="R124" s="22">
        <v>0.006595036112003856</v>
      </c>
      <c r="S124" s="22">
        <v>0.006594901328203272</v>
      </c>
      <c r="AJ124">
        <v>0</v>
      </c>
    </row>
    <row r="125" spans="1:36" x14ac:dyDescent="0.25">
      <c r="A125" t="s">
        <v>269</v>
      </c>
      <c r="B125" t="s">
        <v>24</v>
      </c>
      <c r="C125" t="s">
        <v>24</v>
      </c>
      <c r="D125" t="s">
        <v>274</v>
      </c>
      <c r="E125" t="s">
        <v>54</v>
      </c>
      <c r="F125" s="1" t="s">
        <v>270</v>
      </c>
      <c r="I125" t="s">
        <v>275</v>
      </c>
      <c r="J125" s="22">
        <v>0.9547574468085105</v>
      </c>
      <c r="K125" s="22">
        <v>0.877286890954339</v>
      </c>
      <c r="L125" s="22">
        <v>0.9628456083420975</v>
      </c>
      <c r="M125" s="22">
        <v>0.9812219168532762</v>
      </c>
      <c r="N125" s="22">
        <v>0.960644892899742</v>
      </c>
      <c r="O125" s="22">
        <v>0.9667448404753394</v>
      </c>
      <c r="P125" s="22">
        <v>0.9573092312958624</v>
      </c>
      <c r="Q125" s="22">
        <v>0.9628456083420975</v>
      </c>
      <c r="R125" s="22">
        <v>0.9641901176963849</v>
      </c>
      <c r="S125" s="22">
        <v>0.9641909177121392</v>
      </c>
      <c r="AJ125">
        <v>0</v>
      </c>
    </row>
    <row r="126" spans="1:36" x14ac:dyDescent="0.25">
      <c r="A126" t="s">
        <v>269</v>
      </c>
      <c r="B126" t="s">
        <v>24</v>
      </c>
      <c r="C126" t="s">
        <v>24</v>
      </c>
      <c r="D126" t="s">
        <v>276</v>
      </c>
      <c r="E126" t="s">
        <v>54</v>
      </c>
      <c r="F126" s="1" t="s">
        <v>270</v>
      </c>
      <c r="I126" t="s">
        <v>277</v>
      </c>
      <c r="J126" s="22">
        <v>0.030426477541371153</v>
      </c>
      <c r="K126" s="22">
        <v>0.0007320988541525147</v>
      </c>
      <c r="L126" s="22">
        <v>0.0237373435548395</v>
      </c>
      <c r="M126" s="22">
        <v>0.003391066857103761</v>
      </c>
      <c r="N126" s="22">
        <v>0.02511668830719916</v>
      </c>
      <c r="O126" s="22">
        <v>0.02139636860011225</v>
      </c>
      <c r="P126" s="22">
        <v>0.02754286255649688</v>
      </c>
      <c r="Q126" s="22">
        <v>0.0237373435548395</v>
      </c>
      <c r="R126" s="22">
        <v>0.0230814703146303</v>
      </c>
      <c r="S126" s="22">
        <v>0.02308108698099954</v>
      </c>
      <c r="AJ126">
        <v>0</v>
      </c>
    </row>
    <row r="127" spans="1:36" x14ac:dyDescent="0.25">
      <c r="A127" t="s">
        <v>278</v>
      </c>
      <c r="B127" t="s">
        <v>24</v>
      </c>
      <c r="C127" t="s">
        <v>24</v>
      </c>
      <c r="D127" t="s">
        <v>279</v>
      </c>
      <c r="E127" t="s">
        <v>54</v>
      </c>
      <c r="F127" s="1" t="s">
        <v>280</v>
      </c>
      <c r="I127" t="s">
        <v>281</v>
      </c>
      <c r="J127" s="22">
        <v>1</v>
      </c>
      <c r="K127" s="22">
        <v>1</v>
      </c>
      <c r="L127" s="22">
        <v>1</v>
      </c>
      <c r="M127" s="22">
        <v>1</v>
      </c>
      <c r="N127" s="22">
        <v>1</v>
      </c>
      <c r="O127" s="22">
        <v>1</v>
      </c>
      <c r="P127" s="22">
        <v>1</v>
      </c>
      <c r="Q127" s="22">
        <v>1</v>
      </c>
      <c r="R127" s="22">
        <v>1</v>
      </c>
      <c r="S127" s="22">
        <v>1</v>
      </c>
      <c r="AJ127">
        <v>0</v>
      </c>
    </row>
    <row r="128" spans="1:36" x14ac:dyDescent="0.25">
      <c r="A128" t="s">
        <v>282</v>
      </c>
      <c r="B128" t="s">
        <v>24</v>
      </c>
      <c r="C128" t="s">
        <v>24</v>
      </c>
      <c r="D128" t="s">
        <v>283</v>
      </c>
      <c r="E128" t="s">
        <v>26</v>
      </c>
      <c r="F128" s="1" t="s">
        <v>284</v>
      </c>
      <c r="I128" t="s">
        <v>285</v>
      </c>
      <c r="J128" s="22">
        <v>0.5</v>
      </c>
      <c r="K128" s="22">
        <v>0.5</v>
      </c>
      <c r="L128" s="22">
        <v>0.5</v>
      </c>
      <c r="M128" s="22">
        <v>0.5</v>
      </c>
      <c r="N128" s="22">
        <v>0.5</v>
      </c>
      <c r="O128" s="22">
        <v>0.5</v>
      </c>
      <c r="P128" s="22">
        <v>0.5</v>
      </c>
      <c r="Q128" s="22">
        <v>0.5</v>
      </c>
      <c r="R128" s="22">
        <v>0.5</v>
      </c>
      <c r="S128" s="22">
        <v>0.5</v>
      </c>
      <c r="AJ128">
        <v>0</v>
      </c>
    </row>
    <row r="129" spans="1:36" x14ac:dyDescent="0.25">
      <c r="A129" t="s">
        <v>282</v>
      </c>
      <c r="B129" t="s">
        <v>24</v>
      </c>
      <c r="C129" t="s">
        <v>24</v>
      </c>
      <c r="D129" t="s">
        <v>286</v>
      </c>
      <c r="E129" t="s">
        <v>26</v>
      </c>
      <c r="F129" s="1" t="s">
        <v>284</v>
      </c>
      <c r="I129" t="s">
        <v>287</v>
      </c>
      <c r="J129" s="22">
        <v>0.5</v>
      </c>
      <c r="K129" s="22">
        <v>0.5</v>
      </c>
      <c r="L129" s="22">
        <v>0.5</v>
      </c>
      <c r="M129" s="22">
        <v>0.5</v>
      </c>
      <c r="N129" s="22">
        <v>0.5</v>
      </c>
      <c r="O129" s="22">
        <v>0.5</v>
      </c>
      <c r="P129" s="22">
        <v>0.5</v>
      </c>
      <c r="Q129" s="22">
        <v>0.5</v>
      </c>
      <c r="R129" s="22">
        <v>0.5</v>
      </c>
      <c r="S129" s="22">
        <v>0.5</v>
      </c>
      <c r="AJ129">
        <v>0</v>
      </c>
    </row>
    <row r="130" spans="1:36" x14ac:dyDescent="0.25">
      <c r="A130" t="s">
        <v>288</v>
      </c>
      <c r="B130" t="s">
        <v>24</v>
      </c>
      <c r="C130" t="s">
        <v>24</v>
      </c>
      <c r="D130" t="s">
        <v>25</v>
      </c>
      <c r="E130" t="s">
        <v>26</v>
      </c>
      <c r="F130" s="1" t="s">
        <v>289</v>
      </c>
      <c r="I130" t="s">
        <v>28</v>
      </c>
      <c r="J130" s="22">
        <v>0</v>
      </c>
      <c r="K130" s="22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22">
        <v>0</v>
      </c>
      <c r="R130" s="22">
        <v>0</v>
      </c>
      <c r="S130" s="22">
        <v>0</v>
      </c>
      <c r="AJ130">
        <v>0</v>
      </c>
    </row>
    <row r="131" spans="1:36" x14ac:dyDescent="0.25">
      <c r="A131" t="s">
        <v>288</v>
      </c>
      <c r="B131" t="s">
        <v>24</v>
      </c>
      <c r="C131" t="s">
        <v>24</v>
      </c>
      <c r="D131" t="s">
        <v>290</v>
      </c>
      <c r="E131" t="s">
        <v>26</v>
      </c>
      <c r="F131" s="1" t="s">
        <v>289</v>
      </c>
      <c r="I131" t="s">
        <v>291</v>
      </c>
      <c r="J131" s="22">
        <v>0</v>
      </c>
      <c r="K131" s="22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22">
        <v>0</v>
      </c>
      <c r="R131" s="22">
        <v>0</v>
      </c>
      <c r="S131" s="22">
        <v>0</v>
      </c>
      <c r="AJ131">
        <v>0</v>
      </c>
    </row>
    <row r="132" spans="1:36" x14ac:dyDescent="0.25">
      <c r="A132" t="s">
        <v>288</v>
      </c>
      <c r="B132" t="s">
        <v>24</v>
      </c>
      <c r="C132" t="s">
        <v>24</v>
      </c>
      <c r="D132" t="s">
        <v>170</v>
      </c>
      <c r="E132" t="s">
        <v>26</v>
      </c>
      <c r="F132" s="1" t="s">
        <v>289</v>
      </c>
      <c r="I132" t="s">
        <v>171</v>
      </c>
      <c r="J132" s="22">
        <v>1</v>
      </c>
      <c r="K132" s="22">
        <v>1</v>
      </c>
      <c r="L132" s="22">
        <v>1</v>
      </c>
      <c r="M132" s="22">
        <v>1</v>
      </c>
      <c r="N132" s="22">
        <v>1</v>
      </c>
      <c r="O132" s="22">
        <v>1</v>
      </c>
      <c r="P132" s="22">
        <v>1</v>
      </c>
      <c r="Q132" s="22">
        <v>1</v>
      </c>
      <c r="R132" s="22">
        <v>1</v>
      </c>
      <c r="S132" s="22">
        <v>1</v>
      </c>
      <c r="AJ132">
        <v>0</v>
      </c>
    </row>
    <row r="133" spans="1:36" x14ac:dyDescent="0.25">
      <c r="A133" t="s">
        <v>153</v>
      </c>
      <c r="B133" t="s">
        <v>24</v>
      </c>
      <c r="C133" t="s">
        <v>24</v>
      </c>
      <c r="D133" t="s">
        <v>292</v>
      </c>
      <c r="E133" t="s">
        <v>26</v>
      </c>
      <c r="F133" s="1" t="s">
        <v>293</v>
      </c>
      <c r="I133" t="s">
        <v>294</v>
      </c>
      <c r="J133" s="22">
        <v>1</v>
      </c>
      <c r="K133" s="22">
        <v>1</v>
      </c>
      <c r="L133" s="22">
        <v>1</v>
      </c>
      <c r="M133" s="22">
        <v>1</v>
      </c>
      <c r="N133" s="22">
        <v>1</v>
      </c>
      <c r="O133" s="22">
        <v>1</v>
      </c>
      <c r="P133" s="22">
        <v>1</v>
      </c>
      <c r="Q133" s="22">
        <v>1</v>
      </c>
      <c r="R133" s="22">
        <v>1</v>
      </c>
      <c r="S133" s="22">
        <v>1</v>
      </c>
      <c r="AJ133">
        <v>1</v>
      </c>
    </row>
    <row r="134" spans="1:36" x14ac:dyDescent="0.25">
      <c r="A134" t="s">
        <v>295</v>
      </c>
      <c r="B134" t="s">
        <v>24</v>
      </c>
      <c r="C134" t="s">
        <v>24</v>
      </c>
      <c r="D134" t="s">
        <v>111</v>
      </c>
      <c r="E134" t="s">
        <v>26</v>
      </c>
      <c r="F134" s="1" t="s">
        <v>296</v>
      </c>
      <c r="I134" t="s">
        <v>112</v>
      </c>
      <c r="J134" s="22">
        <v>0.91</v>
      </c>
      <c r="K134" s="22">
        <v>0.91</v>
      </c>
      <c r="L134" s="22">
        <v>0.91</v>
      </c>
      <c r="M134" s="22">
        <v>0.91</v>
      </c>
      <c r="N134" s="22">
        <v>0.91</v>
      </c>
      <c r="O134" s="22">
        <v>0.91</v>
      </c>
      <c r="P134" s="22">
        <v>0.91</v>
      </c>
      <c r="Q134" s="22">
        <v>0.91</v>
      </c>
      <c r="R134" s="22">
        <v>0.91</v>
      </c>
      <c r="S134" s="22">
        <v>0.91</v>
      </c>
      <c r="AJ134">
        <v>0</v>
      </c>
    </row>
    <row r="135" spans="1:36" x14ac:dyDescent="0.25">
      <c r="A135" t="s">
        <v>295</v>
      </c>
      <c r="B135" t="s">
        <v>24</v>
      </c>
      <c r="C135" t="s">
        <v>24</v>
      </c>
      <c r="D135" t="s">
        <v>297</v>
      </c>
      <c r="E135" t="s">
        <v>26</v>
      </c>
      <c r="F135" s="1" t="s">
        <v>296</v>
      </c>
      <c r="I135" t="s">
        <v>298</v>
      </c>
      <c r="J135" s="22">
        <v>0.09</v>
      </c>
      <c r="K135" s="22">
        <v>0.09</v>
      </c>
      <c r="L135" s="22">
        <v>0.09</v>
      </c>
      <c r="M135" s="22">
        <v>0.09</v>
      </c>
      <c r="N135" s="22">
        <v>0.09</v>
      </c>
      <c r="O135" s="22">
        <v>0.09</v>
      </c>
      <c r="P135" s="22">
        <v>0.09</v>
      </c>
      <c r="Q135" s="22">
        <v>0.09</v>
      </c>
      <c r="R135" s="22">
        <v>0.09</v>
      </c>
      <c r="S135" s="22">
        <v>0.09</v>
      </c>
      <c r="AJ135">
        <v>0</v>
      </c>
    </row>
    <row r="136" spans="1:36" x14ac:dyDescent="0.25">
      <c r="A136" t="s">
        <v>299</v>
      </c>
      <c r="B136" t="s">
        <v>24</v>
      </c>
      <c r="C136" t="s">
        <v>24</v>
      </c>
      <c r="D136" t="s">
        <v>300</v>
      </c>
      <c r="E136" t="s">
        <v>26</v>
      </c>
      <c r="F136" s="1" t="s">
        <v>301</v>
      </c>
      <c r="I136" t="s">
        <v>302</v>
      </c>
      <c r="J136" s="22">
        <v>1</v>
      </c>
      <c r="K136" s="22">
        <v>1</v>
      </c>
      <c r="L136" s="22">
        <v>1</v>
      </c>
      <c r="M136" s="22">
        <v>1</v>
      </c>
      <c r="N136" s="22">
        <v>1</v>
      </c>
      <c r="O136" s="22">
        <v>1</v>
      </c>
      <c r="P136" s="22">
        <v>1</v>
      </c>
      <c r="Q136" s="22">
        <v>1</v>
      </c>
      <c r="R136" s="22">
        <v>1</v>
      </c>
      <c r="S136" s="22">
        <v>1</v>
      </c>
      <c r="AJ136">
        <v>0</v>
      </c>
    </row>
    <row r="137" spans="1:36" x14ac:dyDescent="0.25">
      <c r="A137" t="s">
        <v>303</v>
      </c>
      <c r="B137" t="s">
        <v>24</v>
      </c>
      <c r="C137" t="s">
        <v>24</v>
      </c>
      <c r="D137" t="s">
        <v>25</v>
      </c>
      <c r="E137" t="s">
        <v>26</v>
      </c>
      <c r="F137" s="1" t="s">
        <v>304</v>
      </c>
      <c r="I137" t="s">
        <v>28</v>
      </c>
      <c r="J137" s="22">
        <v>0.24</v>
      </c>
      <c r="K137" s="22">
        <v>0.24</v>
      </c>
      <c r="L137" s="22">
        <v>0.24</v>
      </c>
      <c r="M137" s="22">
        <v>0.24</v>
      </c>
      <c r="N137" s="22">
        <v>0.24</v>
      </c>
      <c r="O137" s="22">
        <v>0.24</v>
      </c>
      <c r="P137" s="22">
        <v>0.24</v>
      </c>
      <c r="Q137" s="22">
        <v>0.24</v>
      </c>
      <c r="R137" s="22">
        <v>0.24</v>
      </c>
      <c r="S137" s="22">
        <v>0.24</v>
      </c>
      <c r="AJ137">
        <v>0</v>
      </c>
    </row>
    <row r="138" spans="1:36" x14ac:dyDescent="0.25">
      <c r="A138" t="s">
        <v>303</v>
      </c>
      <c r="B138" t="s">
        <v>24</v>
      </c>
      <c r="C138" t="s">
        <v>24</v>
      </c>
      <c r="D138" t="s">
        <v>305</v>
      </c>
      <c r="E138" t="s">
        <v>26</v>
      </c>
      <c r="F138" s="1" t="s">
        <v>304</v>
      </c>
      <c r="I138" t="s">
        <v>306</v>
      </c>
      <c r="J138" s="22">
        <v>0.76</v>
      </c>
      <c r="K138" s="22">
        <v>0.76</v>
      </c>
      <c r="L138" s="22">
        <v>0.76</v>
      </c>
      <c r="M138" s="22">
        <v>0.76</v>
      </c>
      <c r="N138" s="22">
        <v>0.76</v>
      </c>
      <c r="O138" s="22">
        <v>0.76</v>
      </c>
      <c r="P138" s="22">
        <v>0.76</v>
      </c>
      <c r="Q138" s="22">
        <v>0.76</v>
      </c>
      <c r="R138" s="22">
        <v>0.76</v>
      </c>
      <c r="S138" s="22">
        <v>0.76</v>
      </c>
      <c r="AJ138">
        <v>1</v>
      </c>
    </row>
    <row r="139" spans="1:36" x14ac:dyDescent="0.25">
      <c r="A139" t="s">
        <v>307</v>
      </c>
      <c r="B139" t="s">
        <v>24</v>
      </c>
      <c r="C139" t="s">
        <v>24</v>
      </c>
      <c r="D139" t="s">
        <v>25</v>
      </c>
      <c r="E139" t="s">
        <v>26</v>
      </c>
      <c r="F139" s="1" t="s">
        <v>308</v>
      </c>
      <c r="I139" t="s">
        <v>28</v>
      </c>
      <c r="J139" s="22">
        <v>1</v>
      </c>
      <c r="K139" s="22">
        <v>1</v>
      </c>
      <c r="L139" s="22">
        <v>1</v>
      </c>
      <c r="M139" s="22">
        <v>1</v>
      </c>
      <c r="N139" s="22">
        <v>1</v>
      </c>
      <c r="O139" s="22">
        <v>1</v>
      </c>
      <c r="P139" s="22">
        <v>1</v>
      </c>
      <c r="Q139" s="22">
        <v>1</v>
      </c>
      <c r="R139" s="22">
        <v>1</v>
      </c>
      <c r="S139" s="22">
        <v>1</v>
      </c>
      <c r="AJ139">
        <v>0</v>
      </c>
    </row>
    <row r="140" spans="1:36" x14ac:dyDescent="0.25">
      <c r="A140" t="s">
        <v>309</v>
      </c>
      <c r="B140" t="s">
        <v>24</v>
      </c>
      <c r="C140" t="s">
        <v>24</v>
      </c>
      <c r="D140" t="s">
        <v>310</v>
      </c>
      <c r="E140" t="s">
        <v>26</v>
      </c>
      <c r="F140" s="1" t="s">
        <v>311</v>
      </c>
      <c r="I140" t="s">
        <v>312</v>
      </c>
      <c r="J140" s="22">
        <v>1</v>
      </c>
      <c r="K140" s="22">
        <v>1</v>
      </c>
      <c r="L140" s="22">
        <v>1</v>
      </c>
      <c r="M140" s="22">
        <v>1</v>
      </c>
      <c r="N140" s="22">
        <v>0.5</v>
      </c>
      <c r="O140" s="22">
        <v>1</v>
      </c>
      <c r="P140" s="22">
        <v>0.15</v>
      </c>
      <c r="Q140" s="22">
        <v>0.5</v>
      </c>
      <c r="R140" s="22">
        <v>1</v>
      </c>
      <c r="S140" s="22">
        <v>1</v>
      </c>
      <c r="AJ140">
        <v>1</v>
      </c>
    </row>
    <row r="141" spans="1:36" x14ac:dyDescent="0.25">
      <c r="A141" t="s">
        <v>309</v>
      </c>
      <c r="B141" t="s">
        <v>24</v>
      </c>
      <c r="C141" t="s">
        <v>24</v>
      </c>
      <c r="D141" t="s">
        <v>310</v>
      </c>
      <c r="E141" t="s">
        <v>143</v>
      </c>
      <c r="F141" s="1" t="s">
        <v>311</v>
      </c>
      <c r="I141" t="s">
        <v>313</v>
      </c>
      <c r="J141" s="22">
        <v>0</v>
      </c>
      <c r="K141" s="22">
        <v>0</v>
      </c>
      <c r="L141" s="22">
        <v>0</v>
      </c>
      <c r="M141" s="22">
        <v>0</v>
      </c>
      <c r="N141" s="22">
        <v>0.5</v>
      </c>
      <c r="O141" s="22">
        <v>0</v>
      </c>
      <c r="P141" s="22">
        <v>0.85</v>
      </c>
      <c r="Q141" s="22">
        <v>0.5</v>
      </c>
      <c r="R141" s="22">
        <v>0</v>
      </c>
      <c r="S141" s="22">
        <v>0</v>
      </c>
      <c r="AJ141">
        <v>1</v>
      </c>
    </row>
    <row r="142" spans="1:36" x14ac:dyDescent="0.25">
      <c r="A142" t="s">
        <v>314</v>
      </c>
      <c r="B142" t="s">
        <v>24</v>
      </c>
      <c r="C142" t="s">
        <v>24</v>
      </c>
      <c r="D142" t="s">
        <v>25</v>
      </c>
      <c r="E142" t="s">
        <v>26</v>
      </c>
      <c r="F142" s="1" t="s">
        <v>315</v>
      </c>
      <c r="I142" t="s">
        <v>28</v>
      </c>
      <c r="J142" s="22">
        <v>1</v>
      </c>
      <c r="K142" s="22">
        <v>1</v>
      </c>
      <c r="L142" s="22">
        <v>1</v>
      </c>
      <c r="M142" s="22">
        <v>1</v>
      </c>
      <c r="N142" s="22">
        <v>1</v>
      </c>
      <c r="O142" s="22">
        <v>1</v>
      </c>
      <c r="P142" s="22">
        <v>1</v>
      </c>
      <c r="Q142" s="22">
        <v>1</v>
      </c>
      <c r="R142" s="22">
        <v>1</v>
      </c>
      <c r="S142" s="22">
        <v>1</v>
      </c>
      <c r="AJ142">
        <v>0</v>
      </c>
    </row>
    <row r="143" spans="1:36" x14ac:dyDescent="0.25">
      <c r="A143" t="s">
        <v>316</v>
      </c>
      <c r="B143" t="s">
        <v>24</v>
      </c>
      <c r="C143" t="s">
        <v>24</v>
      </c>
      <c r="D143" t="s">
        <v>25</v>
      </c>
      <c r="E143" t="s">
        <v>26</v>
      </c>
      <c r="F143" s="1" t="s">
        <v>317</v>
      </c>
      <c r="I143" t="s">
        <v>28</v>
      </c>
      <c r="J143" s="22">
        <v>0.006</v>
      </c>
      <c r="K143" s="22">
        <v>0.002</v>
      </c>
      <c r="L143" s="22">
        <v>0</v>
      </c>
      <c r="M143" s="22">
        <v>0.006</v>
      </c>
      <c r="N143" s="22">
        <v>0.005</v>
      </c>
      <c r="O143" s="22">
        <v>0.005</v>
      </c>
      <c r="P143" s="22">
        <v>0.007</v>
      </c>
      <c r="Q143" s="22">
        <v>0.005</v>
      </c>
      <c r="R143" s="22">
        <v>0</v>
      </c>
      <c r="S143" s="22">
        <v>0</v>
      </c>
      <c r="AJ143">
        <v>0</v>
      </c>
    </row>
    <row r="144" spans="1:36" x14ac:dyDescent="0.25">
      <c r="A144" t="s">
        <v>316</v>
      </c>
      <c r="B144" t="s">
        <v>24</v>
      </c>
      <c r="C144" t="s">
        <v>24</v>
      </c>
      <c r="D144" t="s">
        <v>100</v>
      </c>
      <c r="E144" t="s">
        <v>26</v>
      </c>
      <c r="F144" s="1" t="s">
        <v>317</v>
      </c>
      <c r="I144" t="s">
        <v>318</v>
      </c>
      <c r="J144" s="22">
        <v>0.021</v>
      </c>
      <c r="K144" s="22">
        <v>0.011</v>
      </c>
      <c r="L144" s="22">
        <v>0.071</v>
      </c>
      <c r="M144" s="22">
        <v>0.017</v>
      </c>
      <c r="N144" s="22">
        <v>0.042</v>
      </c>
      <c r="O144" s="22">
        <v>0.042</v>
      </c>
      <c r="P144" s="22">
        <v>0.155</v>
      </c>
      <c r="Q144" s="22">
        <v>0.01</v>
      </c>
      <c r="R144" s="22">
        <v>0</v>
      </c>
      <c r="S144" s="22">
        <v>0</v>
      </c>
      <c r="AJ144">
        <v>0</v>
      </c>
    </row>
    <row r="145" spans="1:36" x14ac:dyDescent="0.25">
      <c r="A145" t="s">
        <v>316</v>
      </c>
      <c r="B145" t="s">
        <v>24</v>
      </c>
      <c r="C145" t="s">
        <v>24</v>
      </c>
      <c r="D145" t="s">
        <v>319</v>
      </c>
      <c r="E145" t="s">
        <v>26</v>
      </c>
      <c r="F145" s="1" t="s">
        <v>317</v>
      </c>
      <c r="I145" t="s">
        <v>320</v>
      </c>
      <c r="J145" s="22">
        <v>0.043</v>
      </c>
      <c r="K145" s="22">
        <v>0.009</v>
      </c>
      <c r="L145" s="22">
        <v>0.144</v>
      </c>
      <c r="M145" s="22">
        <v>0.022</v>
      </c>
      <c r="N145" s="22">
        <v>0.025</v>
      </c>
      <c r="O145" s="22">
        <v>0.025</v>
      </c>
      <c r="P145" s="22">
        <v>0.075</v>
      </c>
      <c r="Q145" s="22">
        <v>0.022</v>
      </c>
      <c r="R145" s="22">
        <v>0</v>
      </c>
      <c r="S145" s="22">
        <v>0</v>
      </c>
      <c r="AJ145">
        <v>0</v>
      </c>
    </row>
    <row r="146" spans="1:36" x14ac:dyDescent="0.25">
      <c r="A146" t="s">
        <v>316</v>
      </c>
      <c r="B146" t="s">
        <v>24</v>
      </c>
      <c r="C146" t="s">
        <v>24</v>
      </c>
      <c r="D146" t="s">
        <v>321</v>
      </c>
      <c r="E146" t="s">
        <v>26</v>
      </c>
      <c r="F146" s="1" t="s">
        <v>317</v>
      </c>
      <c r="I146" t="s">
        <v>322</v>
      </c>
      <c r="J146" s="22">
        <v>0</v>
      </c>
      <c r="K146" s="22">
        <v>0.009</v>
      </c>
      <c r="L146" s="22">
        <v>0.019</v>
      </c>
      <c r="M146" s="22">
        <v>0.004</v>
      </c>
      <c r="N146" s="22">
        <v>0.007</v>
      </c>
      <c r="O146" s="22">
        <v>0.007</v>
      </c>
      <c r="P146" s="22">
        <v>0.007</v>
      </c>
      <c r="Q146" s="22">
        <v>0.003</v>
      </c>
      <c r="R146" s="22">
        <v>0</v>
      </c>
      <c r="S146" s="22">
        <v>0</v>
      </c>
      <c r="AJ146">
        <v>0</v>
      </c>
    </row>
    <row r="147" spans="1:36" x14ac:dyDescent="0.25">
      <c r="A147" t="s">
        <v>316</v>
      </c>
      <c r="B147" t="s">
        <v>24</v>
      </c>
      <c r="C147" t="s">
        <v>24</v>
      </c>
      <c r="D147" t="s">
        <v>283</v>
      </c>
      <c r="E147" t="s">
        <v>26</v>
      </c>
      <c r="F147" s="1" t="s">
        <v>317</v>
      </c>
      <c r="I147" t="s">
        <v>285</v>
      </c>
      <c r="J147" s="22">
        <v>0.43</v>
      </c>
      <c r="K147" s="22">
        <v>0.539</v>
      </c>
      <c r="L147" s="22">
        <v>0.412</v>
      </c>
      <c r="M147" s="22">
        <v>0.431</v>
      </c>
      <c r="N147" s="22">
        <v>0.489</v>
      </c>
      <c r="O147" s="22">
        <v>0.489</v>
      </c>
      <c r="P147" s="22">
        <v>0.434</v>
      </c>
      <c r="Q147" s="22">
        <v>0.449</v>
      </c>
      <c r="R147" s="22">
        <v>0.5</v>
      </c>
      <c r="S147" s="22">
        <v>0.5</v>
      </c>
      <c r="AJ147">
        <v>0</v>
      </c>
    </row>
    <row r="148" spans="1:36" x14ac:dyDescent="0.25">
      <c r="A148" t="s">
        <v>316</v>
      </c>
      <c r="B148" t="s">
        <v>24</v>
      </c>
      <c r="C148" t="s">
        <v>24</v>
      </c>
      <c r="D148" t="s">
        <v>286</v>
      </c>
      <c r="E148" t="s">
        <v>26</v>
      </c>
      <c r="F148" s="1" t="s">
        <v>317</v>
      </c>
      <c r="I148" t="s">
        <v>287</v>
      </c>
      <c r="J148" s="22">
        <v>0.5</v>
      </c>
      <c r="K148" s="22">
        <v>0.429</v>
      </c>
      <c r="L148" s="22">
        <v>0.337</v>
      </c>
      <c r="M148" s="22">
        <v>0.518</v>
      </c>
      <c r="N148" s="22">
        <v>0.427</v>
      </c>
      <c r="O148" s="22">
        <v>0.427</v>
      </c>
      <c r="P148" s="22">
        <v>0.3</v>
      </c>
      <c r="Q148" s="22">
        <v>0.509</v>
      </c>
      <c r="R148" s="22">
        <v>0.5</v>
      </c>
      <c r="S148" s="22">
        <v>0.5</v>
      </c>
      <c r="AJ148">
        <v>0</v>
      </c>
    </row>
    <row r="149" spans="1:36" x14ac:dyDescent="0.25">
      <c r="A149" t="s">
        <v>316</v>
      </c>
      <c r="B149" t="s">
        <v>24</v>
      </c>
      <c r="C149" t="s">
        <v>24</v>
      </c>
      <c r="D149" t="s">
        <v>323</v>
      </c>
      <c r="E149" t="s">
        <v>26</v>
      </c>
      <c r="F149" s="1" t="s">
        <v>317</v>
      </c>
      <c r="I149" t="s">
        <v>324</v>
      </c>
      <c r="J149" s="22">
        <v>0</v>
      </c>
      <c r="K149" s="22">
        <v>0.001</v>
      </c>
      <c r="L149" s="22">
        <v>0.009</v>
      </c>
      <c r="M149" s="22">
        <v>0.001</v>
      </c>
      <c r="N149" s="22">
        <v>0.002</v>
      </c>
      <c r="O149" s="22">
        <v>0.002</v>
      </c>
      <c r="P149" s="22">
        <v>0.009</v>
      </c>
      <c r="Q149" s="22">
        <v>0.001</v>
      </c>
      <c r="R149" s="22">
        <v>0</v>
      </c>
      <c r="S149" s="22">
        <v>0</v>
      </c>
      <c r="AJ149">
        <v>0</v>
      </c>
    </row>
    <row r="150" spans="1:36" x14ac:dyDescent="0.25">
      <c r="A150" t="s">
        <v>316</v>
      </c>
      <c r="B150" t="s">
        <v>24</v>
      </c>
      <c r="C150" t="s">
        <v>24</v>
      </c>
      <c r="D150" t="s">
        <v>325</v>
      </c>
      <c r="E150" t="s">
        <v>26</v>
      </c>
      <c r="F150" s="1" t="s">
        <v>317</v>
      </c>
      <c r="I150" t="s">
        <v>326</v>
      </c>
      <c r="J150" s="22">
        <v>0</v>
      </c>
      <c r="K150" s="22">
        <v>0</v>
      </c>
      <c r="L150" s="22">
        <v>0.008</v>
      </c>
      <c r="M150" s="22">
        <v>0.001</v>
      </c>
      <c r="N150" s="22">
        <v>0.003</v>
      </c>
      <c r="O150" s="22">
        <v>0.003</v>
      </c>
      <c r="P150" s="22">
        <v>0.013</v>
      </c>
      <c r="Q150" s="22">
        <v>0.001</v>
      </c>
      <c r="R150" s="22">
        <v>0</v>
      </c>
      <c r="S150" s="22">
        <v>0</v>
      </c>
      <c r="AJ150">
        <v>0</v>
      </c>
    </row>
    <row r="151" spans="1:36" x14ac:dyDescent="0.25">
      <c r="A151" t="s">
        <v>327</v>
      </c>
      <c r="B151" t="s">
        <v>24</v>
      </c>
      <c r="C151" t="s">
        <v>24</v>
      </c>
      <c r="D151" t="s">
        <v>25</v>
      </c>
      <c r="E151" t="s">
        <v>26</v>
      </c>
      <c r="F151" s="1" t="s">
        <v>328</v>
      </c>
      <c r="I151" t="s">
        <v>28</v>
      </c>
      <c r="J151" s="22">
        <v>0</v>
      </c>
      <c r="K151" s="22">
        <v>0.00042797941076650684</v>
      </c>
      <c r="L151" s="22">
        <v>0</v>
      </c>
      <c r="M151" s="22">
        <v>0</v>
      </c>
      <c r="N151" s="22">
        <v>0.009291129138132964</v>
      </c>
      <c r="O151" s="22">
        <v>0.009640453525738193</v>
      </c>
      <c r="P151" s="22">
        <v>0</v>
      </c>
      <c r="Q151" s="22">
        <v>0.006130754833923103</v>
      </c>
      <c r="R151" s="22">
        <v>0</v>
      </c>
      <c r="S151" s="22">
        <v>0.007223470723334897</v>
      </c>
      <c r="AJ151">
        <v>0</v>
      </c>
    </row>
    <row r="152" spans="1:36" x14ac:dyDescent="0.25">
      <c r="A152" t="s">
        <v>327</v>
      </c>
      <c r="B152" t="s">
        <v>24</v>
      </c>
      <c r="C152" t="s">
        <v>24</v>
      </c>
      <c r="D152" t="s">
        <v>329</v>
      </c>
      <c r="E152" t="s">
        <v>26</v>
      </c>
      <c r="F152" s="1" t="s">
        <v>328</v>
      </c>
      <c r="I152" t="s">
        <v>330</v>
      </c>
      <c r="J152" s="22">
        <v>0</v>
      </c>
      <c r="K152" s="22">
        <v>0.0055769997016983505</v>
      </c>
      <c r="L152" s="22">
        <v>0</v>
      </c>
      <c r="M152" s="22">
        <v>0</v>
      </c>
      <c r="N152" s="22">
        <v>0.001907003606961108</v>
      </c>
      <c r="O152" s="22">
        <v>0.0020008488449645306</v>
      </c>
      <c r="P152" s="22">
        <v>0</v>
      </c>
      <c r="Q152" s="22">
        <v>0.002256288756110146</v>
      </c>
      <c r="R152" s="22">
        <v>0</v>
      </c>
      <c r="S152" s="22">
        <v>0</v>
      </c>
      <c r="AJ152">
        <v>0</v>
      </c>
    </row>
    <row r="153" spans="1:36" x14ac:dyDescent="0.25">
      <c r="A153" t="s">
        <v>327</v>
      </c>
      <c r="B153" t="s">
        <v>24</v>
      </c>
      <c r="C153" t="s">
        <v>24</v>
      </c>
      <c r="D153" t="s">
        <v>262</v>
      </c>
      <c r="E153" t="s">
        <v>26</v>
      </c>
      <c r="F153" s="1" t="s">
        <v>328</v>
      </c>
      <c r="I153" t="s">
        <v>331</v>
      </c>
      <c r="J153" s="22">
        <v>0</v>
      </c>
      <c r="K153" s="22">
        <v>0</v>
      </c>
      <c r="L153" s="22">
        <v>0</v>
      </c>
      <c r="M153" s="22">
        <v>0</v>
      </c>
      <c r="N153" s="22">
        <v>0</v>
      </c>
      <c r="O153" s="22">
        <v>0</v>
      </c>
      <c r="P153" s="22">
        <v>0</v>
      </c>
      <c r="Q153" s="22">
        <v>0</v>
      </c>
      <c r="R153" s="22">
        <v>0</v>
      </c>
      <c r="S153" s="22">
        <v>0</v>
      </c>
      <c r="AJ153">
        <v>0</v>
      </c>
    </row>
    <row r="154" spans="1:36" x14ac:dyDescent="0.25">
      <c r="A154" t="s">
        <v>327</v>
      </c>
      <c r="B154" t="s">
        <v>24</v>
      </c>
      <c r="C154" t="s">
        <v>24</v>
      </c>
      <c r="D154" t="s">
        <v>332</v>
      </c>
      <c r="E154" t="s">
        <v>26</v>
      </c>
      <c r="F154" s="1" t="s">
        <v>328</v>
      </c>
      <c r="I154" t="s">
        <v>333</v>
      </c>
      <c r="J154" s="22">
        <v>0.022032786885245903</v>
      </c>
      <c r="K154" s="22">
        <v>0.06006177454815004</v>
      </c>
      <c r="L154" s="22">
        <v>0.019589402913398432</v>
      </c>
      <c r="M154" s="22">
        <v>0.016682048201988042</v>
      </c>
      <c r="N154" s="22">
        <v>0.022499529086864402</v>
      </c>
      <c r="O154" s="22">
        <v>0.022494391560055782</v>
      </c>
      <c r="P154" s="22">
        <v>0</v>
      </c>
      <c r="Q154" s="22">
        <v>0.02798327272801289</v>
      </c>
      <c r="R154" s="22">
        <v>0.016682048201988042</v>
      </c>
      <c r="S154" s="22">
        <v>0.026035364137011335</v>
      </c>
      <c r="AJ154">
        <v>0</v>
      </c>
    </row>
    <row r="155" spans="1:36" x14ac:dyDescent="0.25">
      <c r="A155" t="s">
        <v>327</v>
      </c>
      <c r="B155" t="s">
        <v>24</v>
      </c>
      <c r="C155" t="s">
        <v>24</v>
      </c>
      <c r="D155" t="s">
        <v>334</v>
      </c>
      <c r="E155" t="s">
        <v>26</v>
      </c>
      <c r="F155" s="1" t="s">
        <v>328</v>
      </c>
      <c r="I155" t="s">
        <v>335</v>
      </c>
      <c r="J155" s="22">
        <v>0</v>
      </c>
      <c r="K155" s="22">
        <v>0.008383688677505103</v>
      </c>
      <c r="L155" s="22">
        <v>0</v>
      </c>
      <c r="M155" s="22">
        <v>0.0012207567715378116</v>
      </c>
      <c r="N155" s="22">
        <v>0.015044831449421335</v>
      </c>
      <c r="O155" s="22">
        <v>0.015218577578366579</v>
      </c>
      <c r="P155" s="22">
        <v>0</v>
      </c>
      <c r="Q155" s="22">
        <v>0.010896745021051571</v>
      </c>
      <c r="R155" s="22">
        <v>0.0012207567715378116</v>
      </c>
      <c r="S155" s="22">
        <v>0.012347813202281876</v>
      </c>
      <c r="AJ155">
        <v>0</v>
      </c>
    </row>
    <row r="156" spans="1:36" x14ac:dyDescent="0.25">
      <c r="A156" t="s">
        <v>327</v>
      </c>
      <c r="B156" t="s">
        <v>24</v>
      </c>
      <c r="C156" t="s">
        <v>24</v>
      </c>
      <c r="D156" t="s">
        <v>336</v>
      </c>
      <c r="E156" t="s">
        <v>26</v>
      </c>
      <c r="F156" s="1" t="s">
        <v>328</v>
      </c>
      <c r="I156" t="s">
        <v>337</v>
      </c>
      <c r="J156" s="22">
        <v>0</v>
      </c>
      <c r="K156" s="22">
        <v>0.012536800879583285</v>
      </c>
      <c r="L156" s="22">
        <v>0</v>
      </c>
      <c r="M156" s="22">
        <v>0</v>
      </c>
      <c r="N156" s="22">
        <v>0.0025229527991958932</v>
      </c>
      <c r="O156" s="22">
        <v>0.002485903110410477</v>
      </c>
      <c r="P156" s="22">
        <v>0</v>
      </c>
      <c r="Q156" s="22">
        <v>0.004317174967712782</v>
      </c>
      <c r="R156" s="22">
        <v>0</v>
      </c>
      <c r="S156" s="22">
        <v>0</v>
      </c>
      <c r="AJ156">
        <v>0</v>
      </c>
    </row>
    <row r="157" spans="1:36" x14ac:dyDescent="0.25">
      <c r="A157" t="s">
        <v>327</v>
      </c>
      <c r="B157" t="s">
        <v>24</v>
      </c>
      <c r="C157" t="s">
        <v>24</v>
      </c>
      <c r="D157" t="s">
        <v>338</v>
      </c>
      <c r="E157" t="s">
        <v>26</v>
      </c>
      <c r="F157" s="1" t="s">
        <v>328</v>
      </c>
      <c r="I157" t="s">
        <v>339</v>
      </c>
      <c r="J157" s="22">
        <v>0.046994535519125684</v>
      </c>
      <c r="K157" s="22">
        <v>0.10843029563533757</v>
      </c>
      <c r="L157" s="22">
        <v>0.08209940771570354</v>
      </c>
      <c r="M157" s="22">
        <v>0.020751237440447417</v>
      </c>
      <c r="N157" s="22">
        <v>0.04818881359467845</v>
      </c>
      <c r="O157" s="22">
        <v>0.04814163584551022</v>
      </c>
      <c r="P157" s="22">
        <v>0</v>
      </c>
      <c r="Q157" s="22">
        <v>0.07833708363737765</v>
      </c>
      <c r="R157" s="22">
        <v>0.020751237440447417</v>
      </c>
      <c r="S157" s="22">
        <v>0.08287852221371596</v>
      </c>
      <c r="AJ157">
        <v>0</v>
      </c>
    </row>
    <row r="158" spans="1:36" x14ac:dyDescent="0.25">
      <c r="A158" t="s">
        <v>327</v>
      </c>
      <c r="B158" t="s">
        <v>24</v>
      </c>
      <c r="C158" t="s">
        <v>24</v>
      </c>
      <c r="D158" t="s">
        <v>74</v>
      </c>
      <c r="E158" t="s">
        <v>26</v>
      </c>
      <c r="F158" s="1" t="s">
        <v>328</v>
      </c>
      <c r="I158" t="s">
        <v>340</v>
      </c>
      <c r="J158" s="22">
        <v>0</v>
      </c>
      <c r="K158" s="22">
        <v>0</v>
      </c>
      <c r="L158" s="22">
        <v>0</v>
      </c>
      <c r="M158" s="22">
        <v>0.0030518919288445292</v>
      </c>
      <c r="N158" s="22">
        <v>0.002523471711742005</v>
      </c>
      <c r="O158" s="22">
        <v>0.002485903110410477</v>
      </c>
      <c r="P158" s="22">
        <v>0</v>
      </c>
      <c r="Q158" s="22">
        <v>0.003404278705091763</v>
      </c>
      <c r="R158" s="22">
        <v>0.0030518919288445292</v>
      </c>
      <c r="S158" s="22">
        <v>0.007223470723334897</v>
      </c>
      <c r="AJ158">
        <v>1</v>
      </c>
    </row>
    <row r="159" spans="1:36" x14ac:dyDescent="0.25">
      <c r="A159" t="s">
        <v>327</v>
      </c>
      <c r="B159" t="s">
        <v>24</v>
      </c>
      <c r="C159" t="s">
        <v>24</v>
      </c>
      <c r="D159" t="s">
        <v>176</v>
      </c>
      <c r="E159" t="s">
        <v>26</v>
      </c>
      <c r="F159" s="1" t="s">
        <v>328</v>
      </c>
      <c r="I159" t="s">
        <v>341</v>
      </c>
      <c r="J159" s="22">
        <v>0</v>
      </c>
      <c r="K159" s="22">
        <v>0</v>
      </c>
      <c r="L159" s="22">
        <v>0</v>
      </c>
      <c r="M159" s="22">
        <v>0</v>
      </c>
      <c r="N159" s="22">
        <v>0.0015411702619522424</v>
      </c>
      <c r="O159" s="22">
        <v>0.001576426362699327</v>
      </c>
      <c r="P159" s="22">
        <v>0</v>
      </c>
      <c r="Q159" s="22">
        <v>0.0010777671595492307</v>
      </c>
      <c r="R159" s="22">
        <v>0</v>
      </c>
      <c r="S159" s="22">
        <v>0</v>
      </c>
      <c r="AJ159">
        <v>1</v>
      </c>
    </row>
    <row r="160" spans="1:36" x14ac:dyDescent="0.25">
      <c r="A160" t="s">
        <v>327</v>
      </c>
      <c r="B160" t="s">
        <v>24</v>
      </c>
      <c r="C160" t="s">
        <v>24</v>
      </c>
      <c r="D160" t="s">
        <v>310</v>
      </c>
      <c r="E160" t="s">
        <v>26</v>
      </c>
      <c r="F160" s="1" t="s">
        <v>328</v>
      </c>
      <c r="I160" t="s">
        <v>312</v>
      </c>
      <c r="J160" s="22">
        <v>0.8304699453551913</v>
      </c>
      <c r="K160" s="22">
        <v>0.7251083964852619</v>
      </c>
      <c r="L160" s="22">
        <v>0.3407235473027053</v>
      </c>
      <c r="M160" s="22">
        <v>0.9460799872390225</v>
      </c>
      <c r="N160" s="22">
        <v>0.47214451506844196</v>
      </c>
      <c r="O160" s="22">
        <v>0.4711089553143758</v>
      </c>
      <c r="P160" s="22">
        <v>0.702127659574468</v>
      </c>
      <c r="Q160" s="22">
        <v>0.5424618888709092</v>
      </c>
      <c r="R160" s="22">
        <v>0.9460799872390225</v>
      </c>
      <c r="S160" s="22">
        <v>0.6419381127602302</v>
      </c>
      <c r="AJ160">
        <v>1</v>
      </c>
    </row>
    <row r="161" spans="1:36" x14ac:dyDescent="0.25">
      <c r="A161" t="s">
        <v>327</v>
      </c>
      <c r="B161" t="s">
        <v>24</v>
      </c>
      <c r="C161" t="s">
        <v>24</v>
      </c>
      <c r="D161" t="s">
        <v>32</v>
      </c>
      <c r="E161" t="s">
        <v>26</v>
      </c>
      <c r="F161" s="1" t="s">
        <v>328</v>
      </c>
      <c r="I161" t="s">
        <v>34</v>
      </c>
      <c r="J161" s="22">
        <v>0.10050273224043715</v>
      </c>
      <c r="K161" s="22">
        <v>0.052272121292788847</v>
      </c>
      <c r="L161" s="22">
        <v>0.5575876420681928</v>
      </c>
      <c r="M161" s="22">
        <v>0.01098843861953569</v>
      </c>
      <c r="N161" s="22">
        <v>0.35095041427383117</v>
      </c>
      <c r="O161" s="22">
        <v>0.3511186563996847</v>
      </c>
      <c r="P161" s="22">
        <v>0.29787234042553196</v>
      </c>
      <c r="Q161" s="22">
        <v>0.2865456188612306</v>
      </c>
      <c r="R161" s="22">
        <v>0.01098843861953569</v>
      </c>
      <c r="S161" s="22">
        <v>0.22235324624009087</v>
      </c>
      <c r="AJ161">
        <v>1</v>
      </c>
    </row>
    <row r="162" spans="1:36" x14ac:dyDescent="0.25">
      <c r="A162" t="s">
        <v>327</v>
      </c>
      <c r="B162" t="s">
        <v>24</v>
      </c>
      <c r="C162" t="s">
        <v>24</v>
      </c>
      <c r="D162" t="s">
        <v>342</v>
      </c>
      <c r="E162" t="s">
        <v>26</v>
      </c>
      <c r="F162" s="1" t="s">
        <v>328</v>
      </c>
      <c r="I162" t="s">
        <v>343</v>
      </c>
      <c r="J162" s="22">
        <v>0</v>
      </c>
      <c r="K162" s="22">
        <v>0</v>
      </c>
      <c r="L162" s="22">
        <v>0</v>
      </c>
      <c r="M162" s="22">
        <v>0</v>
      </c>
      <c r="N162" s="22">
        <v>0.0030823405239044847</v>
      </c>
      <c r="O162" s="22">
        <v>0.0030922209422179106</v>
      </c>
      <c r="P162" s="22">
        <v>0</v>
      </c>
      <c r="Q162" s="22">
        <v>0.0018766786045408702</v>
      </c>
      <c r="R162" s="22">
        <v>0</v>
      </c>
      <c r="S162" s="22">
        <v>0</v>
      </c>
      <c r="AJ162">
        <v>1</v>
      </c>
    </row>
    <row r="163" spans="1:36" x14ac:dyDescent="0.25">
      <c r="A163" t="s">
        <v>327</v>
      </c>
      <c r="B163" t="s">
        <v>24</v>
      </c>
      <c r="C163" t="s">
        <v>24</v>
      </c>
      <c r="D163" t="s">
        <v>344</v>
      </c>
      <c r="E163" t="s">
        <v>54</v>
      </c>
      <c r="F163" s="1" t="s">
        <v>328</v>
      </c>
      <c r="I163" t="s">
        <v>345</v>
      </c>
      <c r="J163" s="22">
        <v>0</v>
      </c>
      <c r="K163" s="22">
        <v>0.02720194336890841</v>
      </c>
      <c r="L163" s="22">
        <v>0</v>
      </c>
      <c r="M163" s="22">
        <v>0.001225639798623963</v>
      </c>
      <c r="N163" s="22">
        <v>0.00264437833498607</v>
      </c>
      <c r="O163" s="22">
        <v>0.0026071666767719637</v>
      </c>
      <c r="P163" s="22">
        <v>0</v>
      </c>
      <c r="Q163" s="22">
        <v>0.0037248610046743953</v>
      </c>
      <c r="R163" s="22">
        <v>0.001225639798623963</v>
      </c>
      <c r="S163" s="22">
        <v>0</v>
      </c>
      <c r="AJ163">
        <v>0</v>
      </c>
    </row>
    <row r="164" spans="1:36" x14ac:dyDescent="0.25">
      <c r="A164" t="s">
        <v>327</v>
      </c>
      <c r="B164" t="s">
        <v>24</v>
      </c>
      <c r="C164" t="s">
        <v>24</v>
      </c>
      <c r="D164" t="s">
        <v>346</v>
      </c>
      <c r="E164" t="s">
        <v>54</v>
      </c>
      <c r="F164" s="1" t="s">
        <v>328</v>
      </c>
      <c r="I164" t="s">
        <v>347</v>
      </c>
      <c r="J164" s="22">
        <v>0</v>
      </c>
      <c r="K164" s="22">
        <v>0</v>
      </c>
      <c r="L164" s="22">
        <v>0</v>
      </c>
      <c r="M164" s="22">
        <v>0</v>
      </c>
      <c r="N164" s="22">
        <v>0</v>
      </c>
      <c r="O164" s="22">
        <v>0</v>
      </c>
      <c r="P164" s="22">
        <v>0</v>
      </c>
      <c r="Q164" s="22">
        <v>0</v>
      </c>
      <c r="R164" s="22">
        <v>0</v>
      </c>
      <c r="S164" s="22">
        <v>0</v>
      </c>
      <c r="AJ164">
        <v>0</v>
      </c>
    </row>
    <row r="165" spans="1:36" x14ac:dyDescent="0.25">
      <c r="A165" t="s">
        <v>327</v>
      </c>
      <c r="B165" t="s">
        <v>24</v>
      </c>
      <c r="C165" t="s">
        <v>24</v>
      </c>
      <c r="D165" t="s">
        <v>348</v>
      </c>
      <c r="E165" t="s">
        <v>54</v>
      </c>
      <c r="F165" s="1" t="s">
        <v>328</v>
      </c>
      <c r="I165" t="s">
        <v>349</v>
      </c>
      <c r="J165" s="22">
        <v>0</v>
      </c>
      <c r="K165" s="22">
        <v>0</v>
      </c>
      <c r="L165" s="22">
        <v>0</v>
      </c>
      <c r="M165" s="22">
        <v>0</v>
      </c>
      <c r="N165" s="22">
        <v>0</v>
      </c>
      <c r="O165" s="22">
        <v>0</v>
      </c>
      <c r="P165" s="22">
        <v>0</v>
      </c>
      <c r="Q165" s="22">
        <v>0</v>
      </c>
      <c r="R165" s="22">
        <v>0</v>
      </c>
      <c r="S165" s="22">
        <v>0</v>
      </c>
      <c r="AJ165">
        <v>0</v>
      </c>
    </row>
    <row r="166" spans="1:36" x14ac:dyDescent="0.25">
      <c r="A166" t="s">
        <v>327</v>
      </c>
      <c r="B166" t="s">
        <v>24</v>
      </c>
      <c r="C166" t="s">
        <v>24</v>
      </c>
      <c r="D166" t="s">
        <v>350</v>
      </c>
      <c r="E166" t="s">
        <v>26</v>
      </c>
      <c r="F166" s="1" t="s">
        <v>328</v>
      </c>
      <c r="I166" t="s">
        <v>351</v>
      </c>
      <c r="J166" s="22">
        <v>0</v>
      </c>
      <c r="K166" s="22">
        <v>0</v>
      </c>
      <c r="L166" s="22">
        <v>0</v>
      </c>
      <c r="M166" s="22">
        <v>0</v>
      </c>
      <c r="N166" s="22">
        <v>0.06652614514917958</v>
      </c>
      <c r="O166" s="22">
        <v>0.06675559328199843</v>
      </c>
      <c r="P166" s="22">
        <v>0</v>
      </c>
      <c r="Q166" s="22">
        <v>0.029536315868213196</v>
      </c>
      <c r="R166" s="22">
        <v>0</v>
      </c>
      <c r="S166" s="22">
        <v>0</v>
      </c>
      <c r="AJ166">
        <v>1</v>
      </c>
    </row>
    <row r="167" spans="1:36" x14ac:dyDescent="0.25">
      <c r="A167" t="s">
        <v>327</v>
      </c>
      <c r="B167" t="s">
        <v>24</v>
      </c>
      <c r="C167" t="s">
        <v>24</v>
      </c>
      <c r="D167" t="s">
        <v>352</v>
      </c>
      <c r="E167" t="s">
        <v>54</v>
      </c>
      <c r="F167" s="1" t="s">
        <v>328</v>
      </c>
      <c r="I167" t="s">
        <v>353</v>
      </c>
      <c r="J167" s="22">
        <v>0</v>
      </c>
      <c r="K167" s="22">
        <v>0</v>
      </c>
      <c r="L167" s="22">
        <v>0</v>
      </c>
      <c r="M167" s="22">
        <v>0</v>
      </c>
      <c r="N167" s="22">
        <v>0.0011333050007083156</v>
      </c>
      <c r="O167" s="22">
        <v>0.0012732674467956103</v>
      </c>
      <c r="P167" s="22">
        <v>0</v>
      </c>
      <c r="Q167" s="22">
        <v>0.001451270981602647</v>
      </c>
      <c r="R167" s="22">
        <v>0</v>
      </c>
      <c r="S167" s="22">
        <v>0</v>
      </c>
      <c r="AJ167">
        <v>0</v>
      </c>
    </row>
    <row r="168" spans="1:36" x14ac:dyDescent="0.25">
      <c r="A168" t="s">
        <v>354</v>
      </c>
      <c r="B168" t="s">
        <v>24</v>
      </c>
      <c r="C168" t="s">
        <v>24</v>
      </c>
      <c r="D168" t="s">
        <v>25</v>
      </c>
      <c r="E168" t="s">
        <v>26</v>
      </c>
      <c r="F168" s="1" t="s">
        <v>355</v>
      </c>
      <c r="I168" t="s">
        <v>28</v>
      </c>
      <c r="J168" s="22">
        <v>1</v>
      </c>
      <c r="K168" s="22">
        <v>1</v>
      </c>
      <c r="L168" s="22">
        <v>1</v>
      </c>
      <c r="M168" s="22">
        <v>1</v>
      </c>
      <c r="N168" s="22">
        <v>1</v>
      </c>
      <c r="O168" s="22">
        <v>1</v>
      </c>
      <c r="P168" s="22">
        <v>1</v>
      </c>
      <c r="Q168" s="22">
        <v>1</v>
      </c>
      <c r="R168" s="22">
        <v>1</v>
      </c>
      <c r="S168" s="22">
        <v>1</v>
      </c>
      <c r="AJ168">
        <v>0</v>
      </c>
    </row>
    <row r="169" spans="1:36" x14ac:dyDescent="0.25">
      <c r="A169" t="s">
        <v>356</v>
      </c>
      <c r="B169" t="s">
        <v>24</v>
      </c>
      <c r="C169" t="s">
        <v>24</v>
      </c>
      <c r="D169" t="s">
        <v>25</v>
      </c>
      <c r="E169" t="s">
        <v>26</v>
      </c>
      <c r="F169" s="1" t="s">
        <v>357</v>
      </c>
      <c r="I169" t="s">
        <v>28</v>
      </c>
      <c r="J169" s="22">
        <v>0.5134</v>
      </c>
      <c r="K169" s="22">
        <v>0.5134</v>
      </c>
      <c r="L169" s="22">
        <v>0.5134</v>
      </c>
      <c r="M169" s="22">
        <v>0.5134</v>
      </c>
      <c r="N169" s="22">
        <v>0.5134</v>
      </c>
      <c r="O169" s="22">
        <v>0.5134</v>
      </c>
      <c r="P169" s="22">
        <v>0.5134</v>
      </c>
      <c r="Q169" s="22">
        <v>0.5134</v>
      </c>
      <c r="R169" s="22">
        <v>0.5134</v>
      </c>
      <c r="S169" s="22">
        <v>0.5134</v>
      </c>
      <c r="AJ169">
        <v>0</v>
      </c>
    </row>
    <row r="170" spans="1:36" x14ac:dyDescent="0.25">
      <c r="A170" t="s">
        <v>356</v>
      </c>
      <c r="B170" t="s">
        <v>24</v>
      </c>
      <c r="C170" t="s">
        <v>24</v>
      </c>
      <c r="D170" t="s">
        <v>181</v>
      </c>
      <c r="E170" t="s">
        <v>26</v>
      </c>
      <c r="F170" s="1" t="s">
        <v>357</v>
      </c>
      <c r="I170" t="s">
        <v>182</v>
      </c>
      <c r="J170" s="22">
        <v>0.4206</v>
      </c>
      <c r="K170" s="22">
        <v>0.4206</v>
      </c>
      <c r="L170" s="22">
        <v>0.4206</v>
      </c>
      <c r="M170" s="22">
        <v>0.4206</v>
      </c>
      <c r="N170" s="22">
        <v>0.4206</v>
      </c>
      <c r="O170" s="22">
        <v>0.4206</v>
      </c>
      <c r="P170" s="22">
        <v>0.4206</v>
      </c>
      <c r="Q170" s="22">
        <v>0.4206</v>
      </c>
      <c r="R170" s="22">
        <v>0.4206</v>
      </c>
      <c r="S170" s="22">
        <v>0.4206</v>
      </c>
      <c r="AJ170">
        <v>0</v>
      </c>
    </row>
    <row r="171" spans="1:36" x14ac:dyDescent="0.25">
      <c r="A171" t="s">
        <v>356</v>
      </c>
      <c r="B171" t="s">
        <v>24</v>
      </c>
      <c r="C171" t="s">
        <v>24</v>
      </c>
      <c r="D171" t="s">
        <v>358</v>
      </c>
      <c r="E171" t="s">
        <v>26</v>
      </c>
      <c r="F171" s="1" t="s">
        <v>357</v>
      </c>
      <c r="I171" t="s">
        <v>359</v>
      </c>
      <c r="J171" s="22">
        <v>0.066</v>
      </c>
      <c r="K171" s="22">
        <v>0.066</v>
      </c>
      <c r="L171" s="22">
        <v>0.066</v>
      </c>
      <c r="M171" s="22">
        <v>0.066</v>
      </c>
      <c r="N171" s="22">
        <v>0.066</v>
      </c>
      <c r="O171" s="22">
        <v>0.066</v>
      </c>
      <c r="P171" s="22">
        <v>0.066</v>
      </c>
      <c r="Q171" s="22">
        <v>0.066</v>
      </c>
      <c r="R171" s="22">
        <v>0.066</v>
      </c>
      <c r="S171" s="22">
        <v>0.066</v>
      </c>
      <c r="AJ171">
        <v>0</v>
      </c>
    </row>
    <row r="172" spans="1:36" x14ac:dyDescent="0.25">
      <c r="A172" t="s">
        <v>132</v>
      </c>
      <c r="B172" t="s">
        <v>360</v>
      </c>
      <c r="C172" t="s">
        <v>24</v>
      </c>
      <c r="D172" t="s">
        <v>25</v>
      </c>
      <c r="E172" t="s">
        <v>26</v>
      </c>
      <c r="F172" s="1" t="s">
        <v>361</v>
      </c>
      <c r="G172" t="s">
        <v>362</v>
      </c>
      <c r="I172" t="s">
        <v>28</v>
      </c>
      <c r="J172" s="22">
        <v>0.6312036592990576</v>
      </c>
      <c r="K172" s="22">
        <v>0.7296178488397966</v>
      </c>
      <c r="L172" s="22">
        <v>0.4019896286390536</v>
      </c>
      <c r="M172" s="22">
        <v>0.7200521290894186</v>
      </c>
      <c r="N172" s="22">
        <v>0.6274689144838002</v>
      </c>
      <c r="O172" s="22">
        <v>1</v>
      </c>
      <c r="P172" s="22">
        <v>0.7740625512002409</v>
      </c>
      <c r="Q172" s="22">
        <v>0.8569859138473922</v>
      </c>
      <c r="R172" s="22">
        <v>0.6937886787160601</v>
      </c>
      <c r="S172" s="22">
        <v>0.7508692849477027</v>
      </c>
      <c r="AJ172">
        <v>0</v>
      </c>
    </row>
    <row r="173" spans="1:36" x14ac:dyDescent="0.25">
      <c r="A173" t="s">
        <v>132</v>
      </c>
      <c r="B173" t="s">
        <v>360</v>
      </c>
      <c r="C173" t="s">
        <v>24</v>
      </c>
      <c r="D173" t="s">
        <v>25</v>
      </c>
      <c r="E173" t="s">
        <v>143</v>
      </c>
      <c r="F173" s="1" t="s">
        <v>361</v>
      </c>
      <c r="G173" t="s">
        <v>362</v>
      </c>
      <c r="I173" t="s">
        <v>144</v>
      </c>
      <c r="J173" s="22">
        <v>0.3687963407009424</v>
      </c>
      <c r="K173" s="22">
        <v>0.2703821511602033</v>
      </c>
      <c r="L173" s="22">
        <v>0.5980103713609465</v>
      </c>
      <c r="M173" s="22">
        <v>0.2799478709105814</v>
      </c>
      <c r="N173" s="22">
        <v>0.3725310855161998</v>
      </c>
      <c r="O173" s="22">
        <v>0</v>
      </c>
      <c r="P173" s="22">
        <v>0.22593744879975908</v>
      </c>
      <c r="Q173" s="22">
        <v>0.14301408615260783</v>
      </c>
      <c r="R173" s="22">
        <v>0.3062113212839399</v>
      </c>
      <c r="S173" s="22">
        <v>0.2491307150522973</v>
      </c>
      <c r="AJ173">
        <v>0</v>
      </c>
    </row>
    <row r="174" spans="1:36" x14ac:dyDescent="0.25">
      <c r="A174" t="s">
        <v>363</v>
      </c>
      <c r="B174" t="s">
        <v>24</v>
      </c>
      <c r="C174" t="s">
        <v>24</v>
      </c>
      <c r="D174" t="s">
        <v>25</v>
      </c>
      <c r="E174" t="s">
        <v>26</v>
      </c>
      <c r="F174" s="1" t="s">
        <v>364</v>
      </c>
      <c r="I174" t="s">
        <v>28</v>
      </c>
      <c r="J174" s="22">
        <v>0.17</v>
      </c>
      <c r="K174" s="22">
        <v>0.16</v>
      </c>
      <c r="L174" s="22">
        <v>0.082</v>
      </c>
      <c r="M174" s="22">
        <v>0.118</v>
      </c>
      <c r="N174" s="22">
        <v>0.17</v>
      </c>
      <c r="O174" s="22">
        <v>0.3</v>
      </c>
      <c r="P174" s="22">
        <v>0.257</v>
      </c>
      <c r="Q174" s="22">
        <v>0.17</v>
      </c>
      <c r="R174" s="22">
        <v>0.17</v>
      </c>
      <c r="S174" s="22">
        <v>0.17</v>
      </c>
      <c r="AJ174">
        <v>0</v>
      </c>
    </row>
    <row r="175" spans="1:36" x14ac:dyDescent="0.25">
      <c r="A175" t="s">
        <v>363</v>
      </c>
      <c r="B175" t="s">
        <v>24</v>
      </c>
      <c r="C175" t="s">
        <v>24</v>
      </c>
      <c r="D175" t="s">
        <v>25</v>
      </c>
      <c r="E175" t="s">
        <v>143</v>
      </c>
      <c r="F175" s="1" t="s">
        <v>364</v>
      </c>
      <c r="I175" t="s">
        <v>144</v>
      </c>
      <c r="J175" s="22">
        <v>0.45</v>
      </c>
      <c r="K175" s="22">
        <v>0.01</v>
      </c>
      <c r="L175" s="22">
        <v>0.05</v>
      </c>
      <c r="M175" s="22">
        <v>0.157</v>
      </c>
      <c r="N175" s="22">
        <v>0.45</v>
      </c>
      <c r="O175" s="22">
        <v>0</v>
      </c>
      <c r="P175" s="22">
        <v>0.265</v>
      </c>
      <c r="Q175" s="22">
        <v>0.45</v>
      </c>
      <c r="R175" s="22">
        <v>0.45</v>
      </c>
      <c r="S175" s="22">
        <v>0.45</v>
      </c>
      <c r="AJ175">
        <v>0</v>
      </c>
    </row>
    <row r="176" spans="1:36" x14ac:dyDescent="0.25">
      <c r="A176" t="s">
        <v>363</v>
      </c>
      <c r="B176" t="s">
        <v>24</v>
      </c>
      <c r="C176" t="s">
        <v>24</v>
      </c>
      <c r="D176" t="s">
        <v>25</v>
      </c>
      <c r="E176" t="s">
        <v>139</v>
      </c>
      <c r="F176" s="1" t="s">
        <v>364</v>
      </c>
      <c r="I176" t="s">
        <v>140</v>
      </c>
      <c r="J176" s="22">
        <v>0.2</v>
      </c>
      <c r="K176" s="22">
        <v>0.11</v>
      </c>
      <c r="L176" s="22">
        <v>0.09</v>
      </c>
      <c r="M176" s="22">
        <v>0.115</v>
      </c>
      <c r="N176" s="22">
        <v>0.2</v>
      </c>
      <c r="O176" s="22">
        <v>0.387</v>
      </c>
      <c r="P176" s="22">
        <v>0.142</v>
      </c>
      <c r="Q176" s="22">
        <v>0.2</v>
      </c>
      <c r="R176" s="22">
        <v>0.2</v>
      </c>
      <c r="S176" s="22">
        <v>0.2</v>
      </c>
      <c r="AJ176">
        <v>0</v>
      </c>
    </row>
    <row r="177" spans="1:36" x14ac:dyDescent="0.25">
      <c r="A177" t="s">
        <v>363</v>
      </c>
      <c r="B177" t="s">
        <v>24</v>
      </c>
      <c r="C177" t="s">
        <v>24</v>
      </c>
      <c r="D177" t="s">
        <v>365</v>
      </c>
      <c r="E177" t="s">
        <v>26</v>
      </c>
      <c r="F177" s="1" t="s">
        <v>364</v>
      </c>
      <c r="I177" t="s">
        <v>366</v>
      </c>
      <c r="J177" s="22">
        <v>0.13</v>
      </c>
      <c r="K177" s="22">
        <v>0.72</v>
      </c>
      <c r="L177" s="22">
        <v>0.768</v>
      </c>
      <c r="M177" s="22">
        <v>0.583</v>
      </c>
      <c r="N177" s="22">
        <v>0.13</v>
      </c>
      <c r="O177" s="22">
        <v>0.31</v>
      </c>
      <c r="P177" s="22">
        <v>0.181</v>
      </c>
      <c r="Q177" s="22">
        <v>0.13</v>
      </c>
      <c r="R177" s="22">
        <v>0.13</v>
      </c>
      <c r="S177" s="22">
        <v>0.13</v>
      </c>
      <c r="AJ177">
        <v>0</v>
      </c>
    </row>
    <row r="178" spans="1:36" x14ac:dyDescent="0.25">
      <c r="A178" t="s">
        <v>363</v>
      </c>
      <c r="B178" t="s">
        <v>24</v>
      </c>
      <c r="C178" t="s">
        <v>24</v>
      </c>
      <c r="D178" t="s">
        <v>367</v>
      </c>
      <c r="E178" t="s">
        <v>26</v>
      </c>
      <c r="F178" s="1" t="s">
        <v>364</v>
      </c>
      <c r="I178" t="s">
        <v>368</v>
      </c>
      <c r="J178" s="22">
        <v>0.01</v>
      </c>
      <c r="K178" s="22">
        <v>0</v>
      </c>
      <c r="L178" s="22">
        <v>0.01</v>
      </c>
      <c r="M178" s="22">
        <v>0.012</v>
      </c>
      <c r="N178" s="22">
        <v>0.01</v>
      </c>
      <c r="O178" s="22">
        <v>0.003</v>
      </c>
      <c r="P178" s="22">
        <v>0.015</v>
      </c>
      <c r="Q178" s="22">
        <v>0.01</v>
      </c>
      <c r="R178" s="22">
        <v>0.01</v>
      </c>
      <c r="S178" s="22">
        <v>0.01</v>
      </c>
      <c r="AJ178">
        <v>0</v>
      </c>
    </row>
    <row r="179" spans="1:36" x14ac:dyDescent="0.25">
      <c r="A179" t="s">
        <v>363</v>
      </c>
      <c r="B179" t="s">
        <v>24</v>
      </c>
      <c r="C179" t="s">
        <v>24</v>
      </c>
      <c r="D179" t="s">
        <v>369</v>
      </c>
      <c r="E179" t="s">
        <v>143</v>
      </c>
      <c r="F179" s="1" t="s">
        <v>364</v>
      </c>
      <c r="I179" t="s">
        <v>370</v>
      </c>
      <c r="J179" s="22">
        <v>0.04</v>
      </c>
      <c r="K179" s="22">
        <v>0</v>
      </c>
      <c r="L179" s="22">
        <v>0</v>
      </c>
      <c r="M179" s="22">
        <v>0.015</v>
      </c>
      <c r="N179" s="22">
        <v>0.04</v>
      </c>
      <c r="O179" s="22">
        <v>0</v>
      </c>
      <c r="P179" s="22">
        <v>0.114</v>
      </c>
      <c r="Q179" s="22">
        <v>0.04</v>
      </c>
      <c r="R179" s="22">
        <v>0.04</v>
      </c>
      <c r="S179" s="22">
        <v>0.04</v>
      </c>
      <c r="AJ179">
        <v>0</v>
      </c>
    </row>
    <row r="180" spans="1:36" x14ac:dyDescent="0.25">
      <c r="A180" t="s">
        <v>363</v>
      </c>
      <c r="B180" t="s">
        <v>24</v>
      </c>
      <c r="C180" t="s">
        <v>24</v>
      </c>
      <c r="D180" t="s">
        <v>371</v>
      </c>
      <c r="E180" t="s">
        <v>26</v>
      </c>
      <c r="F180" s="1" t="s">
        <v>364</v>
      </c>
      <c r="I180" t="s">
        <v>372</v>
      </c>
      <c r="J180" s="22">
        <v>0</v>
      </c>
      <c r="K180" s="22">
        <v>0</v>
      </c>
      <c r="L180" s="22">
        <v>0</v>
      </c>
      <c r="M180" s="22">
        <v>0</v>
      </c>
      <c r="N180" s="22">
        <v>0</v>
      </c>
      <c r="O180" s="22">
        <v>0</v>
      </c>
      <c r="P180" s="22">
        <v>0.011</v>
      </c>
      <c r="Q180" s="22">
        <v>0</v>
      </c>
      <c r="R180" s="22">
        <v>0</v>
      </c>
      <c r="S180" s="22">
        <v>0</v>
      </c>
      <c r="AJ180">
        <v>0</v>
      </c>
    </row>
    <row r="181" spans="1:36" x14ac:dyDescent="0.25">
      <c r="A181" t="s">
        <v>363</v>
      </c>
      <c r="B181" t="s">
        <v>24</v>
      </c>
      <c r="C181" t="s">
        <v>24</v>
      </c>
      <c r="D181" t="s">
        <v>373</v>
      </c>
      <c r="E181" t="s">
        <v>26</v>
      </c>
      <c r="F181" s="1" t="s">
        <v>364</v>
      </c>
      <c r="I181" t="s">
        <v>374</v>
      </c>
      <c r="J181" s="22">
        <v>0</v>
      </c>
      <c r="K181" s="22">
        <v>0</v>
      </c>
      <c r="L181" s="22">
        <v>0</v>
      </c>
      <c r="M181" s="22">
        <v>0</v>
      </c>
      <c r="N181" s="22">
        <v>0</v>
      </c>
      <c r="O181" s="22">
        <v>0</v>
      </c>
      <c r="P181" s="22">
        <v>0.015</v>
      </c>
      <c r="Q181" s="22">
        <v>0</v>
      </c>
      <c r="R181" s="22">
        <v>0</v>
      </c>
      <c r="S181" s="22">
        <v>0</v>
      </c>
      <c r="AJ181">
        <v>0</v>
      </c>
    </row>
    <row r="182" spans="1:36" x14ac:dyDescent="0.25">
      <c r="A182" t="s">
        <v>375</v>
      </c>
      <c r="B182" t="s">
        <v>376</v>
      </c>
      <c r="C182" t="s">
        <v>24</v>
      </c>
      <c r="D182" t="s">
        <v>25</v>
      </c>
      <c r="E182" t="s">
        <v>26</v>
      </c>
      <c r="F182" s="1" t="s">
        <v>377</v>
      </c>
      <c r="G182" t="s">
        <v>378</v>
      </c>
      <c r="I182" t="s">
        <v>28</v>
      </c>
      <c r="J182" s="22">
        <v>0.0835</v>
      </c>
      <c r="K182" s="22">
        <v>0.083</v>
      </c>
      <c r="L182" s="22">
        <v>0</v>
      </c>
      <c r="M182" s="22">
        <v>0.372</v>
      </c>
      <c r="N182" s="22">
        <v>0.0835</v>
      </c>
      <c r="O182" s="22">
        <v>0.35</v>
      </c>
      <c r="P182" s="22">
        <v>0.002</v>
      </c>
      <c r="Q182" s="22">
        <v>0.0835</v>
      </c>
      <c r="R182" s="22">
        <v>0.0226</v>
      </c>
      <c r="S182" s="22">
        <v>0.0138</v>
      </c>
      <c r="AJ182">
        <v>0</v>
      </c>
    </row>
    <row r="183" spans="1:36" x14ac:dyDescent="0.25">
      <c r="A183" t="s">
        <v>375</v>
      </c>
      <c r="B183" t="s">
        <v>39</v>
      </c>
      <c r="C183" t="s">
        <v>24</v>
      </c>
      <c r="D183" t="s">
        <v>25</v>
      </c>
      <c r="E183" t="s">
        <v>26</v>
      </c>
      <c r="F183" s="1" t="s">
        <v>377</v>
      </c>
      <c r="G183" t="s">
        <v>379</v>
      </c>
      <c r="I183" t="s">
        <v>28</v>
      </c>
      <c r="J183" s="22">
        <v>0.1551</v>
      </c>
      <c r="K183" s="22">
        <v>0.1541</v>
      </c>
      <c r="L183" s="22">
        <v>0</v>
      </c>
      <c r="M183" s="22">
        <v>0.628</v>
      </c>
      <c r="N183" s="22">
        <v>0.1551</v>
      </c>
      <c r="O183" s="22">
        <v>0.65</v>
      </c>
      <c r="P183" s="22">
        <v>0.0135</v>
      </c>
      <c r="Q183" s="22">
        <v>0.1551</v>
      </c>
      <c r="R183" s="22">
        <v>0.04190000000000001</v>
      </c>
      <c r="S183" s="22">
        <v>0.025699999999999997</v>
      </c>
      <c r="AJ183">
        <v>0</v>
      </c>
    </row>
    <row r="184" spans="1:36" x14ac:dyDescent="0.25">
      <c r="A184" t="s">
        <v>375</v>
      </c>
      <c r="B184" t="s">
        <v>39</v>
      </c>
      <c r="C184" t="s">
        <v>24</v>
      </c>
      <c r="D184" t="s">
        <v>25</v>
      </c>
      <c r="E184" t="s">
        <v>143</v>
      </c>
      <c r="F184" s="1" t="s">
        <v>377</v>
      </c>
      <c r="G184" t="s">
        <v>379</v>
      </c>
      <c r="I184" t="s">
        <v>144</v>
      </c>
      <c r="J184" s="22">
        <v>0</v>
      </c>
      <c r="K184" s="22">
        <v>0</v>
      </c>
      <c r="L184" s="22">
        <v>0</v>
      </c>
      <c r="M184" s="22">
        <v>0</v>
      </c>
      <c r="N184" s="22">
        <v>0</v>
      </c>
      <c r="O184" s="22">
        <v>0</v>
      </c>
      <c r="P184" s="22">
        <v>0.0039</v>
      </c>
      <c r="Q184" s="22">
        <v>0</v>
      </c>
      <c r="R184" s="22">
        <v>0</v>
      </c>
      <c r="S184" s="22">
        <v>0</v>
      </c>
      <c r="AJ184">
        <v>0</v>
      </c>
    </row>
    <row r="185" spans="1:36" x14ac:dyDescent="0.25">
      <c r="A185" t="s">
        <v>375</v>
      </c>
      <c r="B185" t="s">
        <v>39</v>
      </c>
      <c r="C185" t="s">
        <v>24</v>
      </c>
      <c r="D185" t="s">
        <v>25</v>
      </c>
      <c r="E185" t="s">
        <v>139</v>
      </c>
      <c r="F185" s="1" t="s">
        <v>377</v>
      </c>
      <c r="G185" t="s">
        <v>379</v>
      </c>
      <c r="I185" t="s">
        <v>140</v>
      </c>
      <c r="J185" s="22">
        <v>0</v>
      </c>
      <c r="K185" s="22">
        <v>0</v>
      </c>
      <c r="L185" s="22">
        <v>0</v>
      </c>
      <c r="M185" s="22">
        <v>0</v>
      </c>
      <c r="N185" s="22">
        <v>0</v>
      </c>
      <c r="O185" s="22">
        <v>0</v>
      </c>
      <c r="P185" s="22">
        <v>0.0031</v>
      </c>
      <c r="Q185" s="22">
        <v>0</v>
      </c>
      <c r="R185" s="22">
        <v>0</v>
      </c>
      <c r="S185" s="22">
        <v>0</v>
      </c>
      <c r="AJ185">
        <v>0</v>
      </c>
    </row>
    <row r="186" spans="1:36" x14ac:dyDescent="0.25">
      <c r="A186" t="s">
        <v>375</v>
      </c>
      <c r="B186" t="s">
        <v>39</v>
      </c>
      <c r="C186" t="s">
        <v>24</v>
      </c>
      <c r="D186" t="s">
        <v>380</v>
      </c>
      <c r="E186" t="s">
        <v>54</v>
      </c>
      <c r="F186" s="1" t="s">
        <v>377</v>
      </c>
      <c r="G186" t="s">
        <v>379</v>
      </c>
      <c r="I186" t="s">
        <v>381</v>
      </c>
      <c r="J186" s="22">
        <v>0</v>
      </c>
      <c r="K186" s="22">
        <v>0</v>
      </c>
      <c r="L186" s="22">
        <v>0</v>
      </c>
      <c r="M186" s="22">
        <v>0</v>
      </c>
      <c r="N186" s="22">
        <v>0</v>
      </c>
      <c r="O186" s="22">
        <v>0</v>
      </c>
      <c r="P186" s="22">
        <v>0.0031</v>
      </c>
      <c r="Q186" s="22">
        <v>0</v>
      </c>
      <c r="R186" s="22">
        <v>0</v>
      </c>
      <c r="S186" s="22">
        <v>0</v>
      </c>
      <c r="AJ186">
        <v>0</v>
      </c>
    </row>
    <row r="187" spans="1:36" x14ac:dyDescent="0.25">
      <c r="A187" t="s">
        <v>375</v>
      </c>
      <c r="B187" t="s">
        <v>39</v>
      </c>
      <c r="C187" t="s">
        <v>24</v>
      </c>
      <c r="D187" t="s">
        <v>382</v>
      </c>
      <c r="E187" t="s">
        <v>139</v>
      </c>
      <c r="F187" s="1" t="s">
        <v>377</v>
      </c>
      <c r="G187" t="s">
        <v>379</v>
      </c>
      <c r="I187" t="s">
        <v>383</v>
      </c>
      <c r="J187" s="22">
        <v>0</v>
      </c>
      <c r="K187" s="22">
        <v>0</v>
      </c>
      <c r="L187" s="22">
        <v>0</v>
      </c>
      <c r="M187" s="22">
        <v>0</v>
      </c>
      <c r="N187" s="22">
        <v>0</v>
      </c>
      <c r="O187" s="22">
        <v>0</v>
      </c>
      <c r="P187" s="22">
        <v>0.0007</v>
      </c>
      <c r="Q187" s="22">
        <v>0</v>
      </c>
      <c r="R187" s="22">
        <v>0</v>
      </c>
      <c r="S187" s="22">
        <v>0</v>
      </c>
      <c r="AJ187">
        <v>0</v>
      </c>
    </row>
    <row r="188" spans="1:36" x14ac:dyDescent="0.25">
      <c r="A188" t="s">
        <v>375</v>
      </c>
      <c r="B188" t="s">
        <v>41</v>
      </c>
      <c r="C188" t="s">
        <v>24</v>
      </c>
      <c r="D188" t="s">
        <v>25</v>
      </c>
      <c r="E188" t="s">
        <v>26</v>
      </c>
      <c r="F188" s="1" t="s">
        <v>377</v>
      </c>
      <c r="G188" t="s">
        <v>384</v>
      </c>
      <c r="I188" t="s">
        <v>28</v>
      </c>
      <c r="J188" s="22">
        <v>0</v>
      </c>
      <c r="K188" s="22">
        <v>0</v>
      </c>
      <c r="L188" s="22">
        <v>0</v>
      </c>
      <c r="M188" s="22">
        <v>0</v>
      </c>
      <c r="N188" s="22">
        <v>0</v>
      </c>
      <c r="O188" s="22">
        <v>0</v>
      </c>
      <c r="P188" s="22">
        <v>0.2048</v>
      </c>
      <c r="Q188" s="22">
        <v>0</v>
      </c>
      <c r="R188" s="22">
        <v>0</v>
      </c>
      <c r="S188" s="22">
        <v>0</v>
      </c>
      <c r="AJ188">
        <v>0</v>
      </c>
    </row>
    <row r="189" spans="1:36" x14ac:dyDescent="0.25">
      <c r="A189" t="s">
        <v>375</v>
      </c>
      <c r="B189" t="s">
        <v>41</v>
      </c>
      <c r="C189" t="s">
        <v>24</v>
      </c>
      <c r="D189" t="s">
        <v>25</v>
      </c>
      <c r="E189" t="s">
        <v>143</v>
      </c>
      <c r="F189" s="1" t="s">
        <v>377</v>
      </c>
      <c r="G189" t="s">
        <v>384</v>
      </c>
      <c r="I189" t="s">
        <v>144</v>
      </c>
      <c r="J189" s="22">
        <v>0.574</v>
      </c>
      <c r="K189" s="22">
        <v>0.5755</v>
      </c>
      <c r="L189" s="22">
        <v>0</v>
      </c>
      <c r="M189" s="22">
        <v>0</v>
      </c>
      <c r="N189" s="22">
        <v>0.574</v>
      </c>
      <c r="O189" s="22">
        <v>0</v>
      </c>
      <c r="P189" s="22">
        <v>0.5928</v>
      </c>
      <c r="Q189" s="22">
        <v>0.574</v>
      </c>
      <c r="R189" s="22">
        <v>0.7481</v>
      </c>
      <c r="S189" s="22">
        <v>0.7243</v>
      </c>
      <c r="AJ189">
        <v>0</v>
      </c>
    </row>
    <row r="190" spans="1:36" x14ac:dyDescent="0.25">
      <c r="A190" t="s">
        <v>375</v>
      </c>
      <c r="B190" t="s">
        <v>41</v>
      </c>
      <c r="C190" t="s">
        <v>24</v>
      </c>
      <c r="D190" t="s">
        <v>25</v>
      </c>
      <c r="E190" t="s">
        <v>139</v>
      </c>
      <c r="F190" s="1" t="s">
        <v>377</v>
      </c>
      <c r="G190" t="s">
        <v>384</v>
      </c>
      <c r="I190" t="s">
        <v>140</v>
      </c>
      <c r="J190" s="22">
        <v>0.1874</v>
      </c>
      <c r="K190" s="22">
        <v>0.1874</v>
      </c>
      <c r="L190" s="22">
        <v>0</v>
      </c>
      <c r="M190" s="22">
        <v>0</v>
      </c>
      <c r="N190" s="22">
        <v>0.1874</v>
      </c>
      <c r="O190" s="22">
        <v>0</v>
      </c>
      <c r="P190" s="22">
        <v>0.1761</v>
      </c>
      <c r="Q190" s="22">
        <v>0.1874</v>
      </c>
      <c r="R190" s="22">
        <v>0.18739999999999998</v>
      </c>
      <c r="S190" s="22">
        <v>0.23620000000000002</v>
      </c>
      <c r="AJ190">
        <v>0</v>
      </c>
    </row>
    <row r="191" spans="1:36" x14ac:dyDescent="0.25">
      <c r="A191" t="s">
        <v>385</v>
      </c>
      <c r="B191" t="s">
        <v>376</v>
      </c>
      <c r="C191" t="s">
        <v>24</v>
      </c>
      <c r="D191" t="s">
        <v>25</v>
      </c>
      <c r="E191" t="s">
        <v>26</v>
      </c>
      <c r="F191" s="1" t="s">
        <v>386</v>
      </c>
      <c r="G191" t="s">
        <v>387</v>
      </c>
      <c r="I191" t="s">
        <v>28</v>
      </c>
      <c r="J191" s="22">
        <v>0</v>
      </c>
      <c r="K191" s="22">
        <v>0</v>
      </c>
      <c r="L191" s="22">
        <v>0</v>
      </c>
      <c r="M191" s="22">
        <v>0</v>
      </c>
      <c r="N191" s="22">
        <v>0</v>
      </c>
      <c r="O191" s="22">
        <v>0</v>
      </c>
      <c r="P191" s="22"/>
      <c r="Q191" s="22">
        <v>0</v>
      </c>
      <c r="R191" s="22">
        <v>0</v>
      </c>
      <c r="S191" s="22">
        <v>0</v>
      </c>
      <c r="AJ191">
        <v>0</v>
      </c>
    </row>
    <row r="192" spans="1:36" x14ac:dyDescent="0.25">
      <c r="A192" t="s">
        <v>385</v>
      </c>
      <c r="B192" t="s">
        <v>376</v>
      </c>
      <c r="C192" t="s">
        <v>24</v>
      </c>
      <c r="D192" t="s">
        <v>25</v>
      </c>
      <c r="E192" t="s">
        <v>26</v>
      </c>
      <c r="F192" s="1" t="s">
        <v>386</v>
      </c>
      <c r="G192" t="s">
        <v>387</v>
      </c>
      <c r="I192" t="s">
        <v>28</v>
      </c>
      <c r="J192" s="22"/>
      <c r="K192" s="22"/>
      <c r="L192" s="22"/>
      <c r="M192" s="22"/>
      <c r="N192" s="22"/>
      <c r="O192" s="22"/>
      <c r="P192" s="22">
        <v>0.4656</v>
      </c>
      <c r="Q192" s="22"/>
      <c r="R192" s="22"/>
      <c r="S192" s="22"/>
      <c r="AJ192">
        <v>0</v>
      </c>
    </row>
    <row r="193" spans="1:36" x14ac:dyDescent="0.25">
      <c r="A193" t="s">
        <v>385</v>
      </c>
      <c r="B193" t="s">
        <v>376</v>
      </c>
      <c r="C193" t="s">
        <v>24</v>
      </c>
      <c r="D193" t="s">
        <v>25</v>
      </c>
      <c r="E193" t="s">
        <v>143</v>
      </c>
      <c r="F193" s="1" t="s">
        <v>386</v>
      </c>
      <c r="G193" t="s">
        <v>387</v>
      </c>
      <c r="I193" t="s">
        <v>144</v>
      </c>
      <c r="J193" s="22">
        <v>0</v>
      </c>
      <c r="K193" s="22">
        <v>0</v>
      </c>
      <c r="L193" s="22">
        <v>0</v>
      </c>
      <c r="M193" s="22">
        <v>0</v>
      </c>
      <c r="N193" s="22">
        <v>0</v>
      </c>
      <c r="O193" s="22">
        <v>0</v>
      </c>
      <c r="P193" s="22"/>
      <c r="Q193" s="22">
        <v>0</v>
      </c>
      <c r="R193" s="22">
        <v>0</v>
      </c>
      <c r="S193" s="22">
        <v>0</v>
      </c>
      <c r="AJ193">
        <v>0</v>
      </c>
    </row>
    <row r="194" spans="1:36" x14ac:dyDescent="0.25">
      <c r="A194" t="s">
        <v>385</v>
      </c>
      <c r="B194" t="s">
        <v>376</v>
      </c>
      <c r="C194" t="s">
        <v>24</v>
      </c>
      <c r="D194" t="s">
        <v>25</v>
      </c>
      <c r="E194" t="s">
        <v>143</v>
      </c>
      <c r="F194" s="1" t="s">
        <v>386</v>
      </c>
      <c r="G194" t="s">
        <v>387</v>
      </c>
      <c r="I194" t="s">
        <v>144</v>
      </c>
      <c r="J194" s="22"/>
      <c r="K194" s="22"/>
      <c r="L194" s="22"/>
      <c r="M194" s="22"/>
      <c r="N194" s="22"/>
      <c r="O194" s="22"/>
      <c r="P194" s="22">
        <v>0.0728</v>
      </c>
      <c r="Q194" s="22"/>
      <c r="R194" s="22"/>
      <c r="S194" s="22"/>
      <c r="AJ194">
        <v>0</v>
      </c>
    </row>
    <row r="195" spans="1:36" x14ac:dyDescent="0.25">
      <c r="A195" t="s">
        <v>385</v>
      </c>
      <c r="B195" t="s">
        <v>39</v>
      </c>
      <c r="C195" t="s">
        <v>24</v>
      </c>
      <c r="D195" t="s">
        <v>25</v>
      </c>
      <c r="E195" t="s">
        <v>26</v>
      </c>
      <c r="F195" s="1" t="s">
        <v>386</v>
      </c>
      <c r="G195" t="s">
        <v>388</v>
      </c>
      <c r="I195" t="s">
        <v>28</v>
      </c>
      <c r="J195" s="22">
        <v>0</v>
      </c>
      <c r="K195" s="22">
        <v>0</v>
      </c>
      <c r="L195" s="22">
        <v>0</v>
      </c>
      <c r="M195" s="22">
        <v>0</v>
      </c>
      <c r="N195" s="22">
        <v>0</v>
      </c>
      <c r="O195" s="22">
        <v>0</v>
      </c>
      <c r="P195" s="22"/>
      <c r="Q195" s="22">
        <v>0</v>
      </c>
      <c r="R195" s="22">
        <v>0</v>
      </c>
      <c r="S195" s="22">
        <v>0</v>
      </c>
      <c r="AJ195">
        <v>0</v>
      </c>
    </row>
    <row r="196" spans="1:36" x14ac:dyDescent="0.25">
      <c r="A196" t="s">
        <v>385</v>
      </c>
      <c r="B196" t="s">
        <v>39</v>
      </c>
      <c r="C196" t="s">
        <v>24</v>
      </c>
      <c r="D196" t="s">
        <v>25</v>
      </c>
      <c r="E196" t="s">
        <v>26</v>
      </c>
      <c r="F196" s="1" t="s">
        <v>386</v>
      </c>
      <c r="G196" t="s">
        <v>388</v>
      </c>
      <c r="I196" t="s">
        <v>28</v>
      </c>
      <c r="J196" s="22"/>
      <c r="K196" s="22"/>
      <c r="L196" s="22"/>
      <c r="M196" s="22"/>
      <c r="N196" s="22"/>
      <c r="O196" s="22"/>
      <c r="P196" s="22">
        <v>0.213</v>
      </c>
      <c r="Q196" s="22"/>
      <c r="R196" s="22"/>
      <c r="S196" s="22"/>
      <c r="AJ196">
        <v>0</v>
      </c>
    </row>
    <row r="197" spans="1:36" x14ac:dyDescent="0.25">
      <c r="A197" t="s">
        <v>385</v>
      </c>
      <c r="B197" t="s">
        <v>39</v>
      </c>
      <c r="C197" t="s">
        <v>24</v>
      </c>
      <c r="D197" t="s">
        <v>25</v>
      </c>
      <c r="E197" t="s">
        <v>143</v>
      </c>
      <c r="F197" s="1" t="s">
        <v>386</v>
      </c>
      <c r="G197" t="s">
        <v>388</v>
      </c>
      <c r="I197" t="s">
        <v>144</v>
      </c>
      <c r="J197" s="22">
        <v>0</v>
      </c>
      <c r="K197" s="22">
        <v>0</v>
      </c>
      <c r="L197" s="22">
        <v>0</v>
      </c>
      <c r="M197" s="22">
        <v>0</v>
      </c>
      <c r="N197" s="22">
        <v>0</v>
      </c>
      <c r="O197" s="22">
        <v>0</v>
      </c>
      <c r="P197" s="22"/>
      <c r="Q197" s="22">
        <v>0</v>
      </c>
      <c r="R197" s="22">
        <v>0</v>
      </c>
      <c r="S197" s="22">
        <v>0</v>
      </c>
      <c r="AJ197">
        <v>0</v>
      </c>
    </row>
    <row r="198" spans="1:36" x14ac:dyDescent="0.25">
      <c r="A198" t="s">
        <v>385</v>
      </c>
      <c r="B198" t="s">
        <v>39</v>
      </c>
      <c r="C198" t="s">
        <v>24</v>
      </c>
      <c r="D198" t="s">
        <v>25</v>
      </c>
      <c r="E198" t="s">
        <v>143</v>
      </c>
      <c r="F198" s="1" t="s">
        <v>386</v>
      </c>
      <c r="G198" t="s">
        <v>388</v>
      </c>
      <c r="I198" t="s">
        <v>144</v>
      </c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AJ198">
        <v>0</v>
      </c>
    </row>
    <row r="199" spans="1:36" x14ac:dyDescent="0.25">
      <c r="A199" t="s">
        <v>385</v>
      </c>
      <c r="B199" t="s">
        <v>389</v>
      </c>
      <c r="C199" t="s">
        <v>24</v>
      </c>
      <c r="D199" t="s">
        <v>25</v>
      </c>
      <c r="E199" t="s">
        <v>26</v>
      </c>
      <c r="F199" s="1" t="s">
        <v>386</v>
      </c>
      <c r="G199" t="s">
        <v>390</v>
      </c>
      <c r="I199" t="s">
        <v>28</v>
      </c>
      <c r="J199" s="22">
        <v>0</v>
      </c>
      <c r="K199" s="22">
        <v>0</v>
      </c>
      <c r="L199" s="22">
        <v>0</v>
      </c>
      <c r="M199" s="22">
        <v>0</v>
      </c>
      <c r="N199" s="22">
        <v>0</v>
      </c>
      <c r="O199" s="22">
        <v>0</v>
      </c>
      <c r="P199" s="22"/>
      <c r="Q199" s="22">
        <v>0</v>
      </c>
      <c r="R199" s="22">
        <v>0</v>
      </c>
      <c r="S199" s="22">
        <v>0</v>
      </c>
      <c r="AJ199">
        <v>0</v>
      </c>
    </row>
    <row r="200" spans="1:36" x14ac:dyDescent="0.25">
      <c r="A200" t="s">
        <v>385</v>
      </c>
      <c r="B200" t="s">
        <v>389</v>
      </c>
      <c r="C200" t="s">
        <v>24</v>
      </c>
      <c r="D200" t="s">
        <v>25</v>
      </c>
      <c r="E200" t="s">
        <v>26</v>
      </c>
      <c r="F200" s="1" t="s">
        <v>386</v>
      </c>
      <c r="G200" t="s">
        <v>390</v>
      </c>
      <c r="I200" t="s">
        <v>28</v>
      </c>
      <c r="J200" s="22"/>
      <c r="K200" s="22"/>
      <c r="L200" s="22"/>
      <c r="M200" s="22"/>
      <c r="N200" s="22"/>
      <c r="O200" s="22"/>
      <c r="P200" s="22">
        <v>0.0713</v>
      </c>
      <c r="Q200" s="22"/>
      <c r="R200" s="22"/>
      <c r="S200" s="22"/>
      <c r="AJ200">
        <v>0</v>
      </c>
    </row>
    <row r="201" spans="1:36" x14ac:dyDescent="0.25">
      <c r="A201" t="s">
        <v>385</v>
      </c>
      <c r="B201" t="s">
        <v>389</v>
      </c>
      <c r="C201" t="s">
        <v>24</v>
      </c>
      <c r="D201" t="s">
        <v>25</v>
      </c>
      <c r="E201" t="s">
        <v>143</v>
      </c>
      <c r="F201" s="1" t="s">
        <v>386</v>
      </c>
      <c r="G201" t="s">
        <v>390</v>
      </c>
      <c r="I201" t="s">
        <v>144</v>
      </c>
      <c r="J201" s="22">
        <v>0</v>
      </c>
      <c r="K201" s="22">
        <v>0</v>
      </c>
      <c r="L201" s="22">
        <v>0</v>
      </c>
      <c r="M201" s="22">
        <v>0</v>
      </c>
      <c r="N201" s="22">
        <v>0</v>
      </c>
      <c r="O201" s="22">
        <v>0</v>
      </c>
      <c r="P201" s="22"/>
      <c r="Q201" s="22">
        <v>0</v>
      </c>
      <c r="R201" s="22">
        <v>0</v>
      </c>
      <c r="S201" s="22">
        <v>0</v>
      </c>
      <c r="AJ201">
        <v>0</v>
      </c>
    </row>
    <row r="202" spans="1:36" x14ac:dyDescent="0.25">
      <c r="A202" t="s">
        <v>385</v>
      </c>
      <c r="B202" t="s">
        <v>389</v>
      </c>
      <c r="C202" t="s">
        <v>24</v>
      </c>
      <c r="D202" t="s">
        <v>25</v>
      </c>
      <c r="E202" t="s">
        <v>143</v>
      </c>
      <c r="F202" s="1" t="s">
        <v>386</v>
      </c>
      <c r="G202" t="s">
        <v>390</v>
      </c>
      <c r="I202" t="s">
        <v>144</v>
      </c>
      <c r="J202" s="22"/>
      <c r="K202" s="22"/>
      <c r="L202" s="22"/>
      <c r="M202" s="22"/>
      <c r="N202" s="22"/>
      <c r="O202" s="22"/>
      <c r="P202" s="22">
        <v>0</v>
      </c>
      <c r="Q202" s="22"/>
      <c r="R202" s="22"/>
      <c r="S202" s="22"/>
      <c r="AJ202">
        <v>0</v>
      </c>
    </row>
    <row r="203" spans="1:36" x14ac:dyDescent="0.25">
      <c r="A203" t="s">
        <v>385</v>
      </c>
      <c r="B203" t="s">
        <v>96</v>
      </c>
      <c r="C203" t="s">
        <v>24</v>
      </c>
      <c r="D203" t="s">
        <v>25</v>
      </c>
      <c r="E203" t="s">
        <v>26</v>
      </c>
      <c r="F203" s="1" t="s">
        <v>386</v>
      </c>
      <c r="G203" t="s">
        <v>391</v>
      </c>
      <c r="I203" t="s">
        <v>28</v>
      </c>
      <c r="J203" s="22">
        <v>0.872</v>
      </c>
      <c r="K203" s="22">
        <v>0.827</v>
      </c>
      <c r="L203" s="22">
        <v>0.848</v>
      </c>
      <c r="M203" s="22">
        <v>0.902</v>
      </c>
      <c r="N203" s="22">
        <v>0.876</v>
      </c>
      <c r="O203" s="22">
        <v>1</v>
      </c>
      <c r="P203" s="22"/>
      <c r="Q203" s="22">
        <v>0.87</v>
      </c>
      <c r="R203" s="22">
        <v>0.902</v>
      </c>
      <c r="S203" s="22">
        <v>0.87</v>
      </c>
      <c r="AJ203">
        <v>0</v>
      </c>
    </row>
    <row r="204" spans="1:36" x14ac:dyDescent="0.25">
      <c r="A204" t="s">
        <v>385</v>
      </c>
      <c r="B204" t="s">
        <v>96</v>
      </c>
      <c r="C204" t="s">
        <v>24</v>
      </c>
      <c r="D204" t="s">
        <v>25</v>
      </c>
      <c r="E204" t="s">
        <v>26</v>
      </c>
      <c r="F204" s="1" t="s">
        <v>386</v>
      </c>
      <c r="G204" t="s">
        <v>391</v>
      </c>
      <c r="I204" t="s">
        <v>28</v>
      </c>
      <c r="J204" s="22"/>
      <c r="K204" s="22"/>
      <c r="L204" s="22"/>
      <c r="M204" s="22"/>
      <c r="N204" s="22"/>
      <c r="O204" s="22"/>
      <c r="P204" s="22">
        <v>0.1533</v>
      </c>
      <c r="Q204" s="22"/>
      <c r="R204" s="22"/>
      <c r="S204" s="22"/>
      <c r="AJ204">
        <v>0</v>
      </c>
    </row>
    <row r="205" spans="1:36" x14ac:dyDescent="0.25">
      <c r="A205" t="s">
        <v>385</v>
      </c>
      <c r="B205" t="s">
        <v>96</v>
      </c>
      <c r="C205" t="s">
        <v>24</v>
      </c>
      <c r="D205" t="s">
        <v>25</v>
      </c>
      <c r="E205" t="s">
        <v>143</v>
      </c>
      <c r="F205" s="1" t="s">
        <v>386</v>
      </c>
      <c r="G205" t="s">
        <v>391</v>
      </c>
      <c r="I205" t="s">
        <v>144</v>
      </c>
      <c r="J205" s="22">
        <v>0.128</v>
      </c>
      <c r="K205" s="22">
        <v>0.173</v>
      </c>
      <c r="L205" s="22">
        <v>0.152</v>
      </c>
      <c r="M205" s="22">
        <v>0.098</v>
      </c>
      <c r="N205" s="22">
        <v>0.124</v>
      </c>
      <c r="O205" s="22">
        <v>0</v>
      </c>
      <c r="P205" s="22"/>
      <c r="Q205" s="22">
        <v>0.13</v>
      </c>
      <c r="R205" s="22">
        <v>0.098</v>
      </c>
      <c r="S205" s="22">
        <v>0.13</v>
      </c>
      <c r="AJ205">
        <v>0</v>
      </c>
    </row>
    <row r="206" spans="1:36" x14ac:dyDescent="0.25">
      <c r="A206" t="s">
        <v>385</v>
      </c>
      <c r="B206" t="s">
        <v>96</v>
      </c>
      <c r="C206" t="s">
        <v>24</v>
      </c>
      <c r="D206" t="s">
        <v>25</v>
      </c>
      <c r="E206" t="s">
        <v>143</v>
      </c>
      <c r="F206" s="1" t="s">
        <v>386</v>
      </c>
      <c r="G206" t="s">
        <v>391</v>
      </c>
      <c r="I206" t="s">
        <v>144</v>
      </c>
      <c r="J206" s="22"/>
      <c r="K206" s="22"/>
      <c r="L206" s="22"/>
      <c r="M206" s="22"/>
      <c r="N206" s="22"/>
      <c r="O206" s="22"/>
      <c r="P206" s="22">
        <v>0.024</v>
      </c>
      <c r="Q206" s="22"/>
      <c r="R206" s="22"/>
      <c r="S206" s="22"/>
      <c r="AJ206">
        <v>0</v>
      </c>
    </row>
    <row r="207" spans="1:36" x14ac:dyDescent="0.25">
      <c r="A207" t="s">
        <v>392</v>
      </c>
      <c r="B207" t="s">
        <v>109</v>
      </c>
      <c r="C207" t="s">
        <v>24</v>
      </c>
      <c r="D207" t="s">
        <v>25</v>
      </c>
      <c r="E207" t="s">
        <v>26</v>
      </c>
      <c r="F207" s="1" t="s">
        <v>393</v>
      </c>
      <c r="G207" t="s">
        <v>394</v>
      </c>
      <c r="I207" t="s">
        <v>28</v>
      </c>
      <c r="J207" s="22">
        <v>0</v>
      </c>
      <c r="K207" s="22">
        <v>0</v>
      </c>
      <c r="L207" s="22">
        <v>0</v>
      </c>
      <c r="M207" s="22">
        <v>0</v>
      </c>
      <c r="N207" s="22">
        <v>0</v>
      </c>
      <c r="O207" s="22">
        <v>0</v>
      </c>
      <c r="P207" s="22">
        <v>0.0201</v>
      </c>
      <c r="Q207" s="22">
        <v>0</v>
      </c>
      <c r="R207" s="22">
        <v>0</v>
      </c>
      <c r="S207" s="22">
        <v>0</v>
      </c>
      <c r="AJ207">
        <v>0</v>
      </c>
    </row>
    <row r="208" spans="1:36" x14ac:dyDescent="0.25">
      <c r="A208" t="s">
        <v>392</v>
      </c>
      <c r="B208" t="s">
        <v>395</v>
      </c>
      <c r="C208" t="s">
        <v>24</v>
      </c>
      <c r="D208" t="s">
        <v>25</v>
      </c>
      <c r="E208" t="s">
        <v>26</v>
      </c>
      <c r="F208" s="1" t="s">
        <v>393</v>
      </c>
      <c r="G208" t="s">
        <v>396</v>
      </c>
      <c r="I208" t="s">
        <v>28</v>
      </c>
      <c r="J208" s="22">
        <v>0</v>
      </c>
      <c r="K208" s="22">
        <v>0</v>
      </c>
      <c r="L208" s="22">
        <v>0</v>
      </c>
      <c r="M208" s="22">
        <v>0</v>
      </c>
      <c r="N208" s="22">
        <v>0</v>
      </c>
      <c r="O208" s="22">
        <v>0</v>
      </c>
      <c r="P208" s="22">
        <v>0.606</v>
      </c>
      <c r="Q208" s="22">
        <v>0</v>
      </c>
      <c r="R208" s="22">
        <v>0</v>
      </c>
      <c r="S208" s="22">
        <v>0</v>
      </c>
      <c r="AJ208">
        <v>0</v>
      </c>
    </row>
    <row r="209" spans="1:36" x14ac:dyDescent="0.25">
      <c r="A209" t="s">
        <v>392</v>
      </c>
      <c r="B209" t="s">
        <v>395</v>
      </c>
      <c r="C209" t="s">
        <v>24</v>
      </c>
      <c r="D209" t="s">
        <v>397</v>
      </c>
      <c r="E209" t="s">
        <v>26</v>
      </c>
      <c r="F209" s="1" t="s">
        <v>393</v>
      </c>
      <c r="G209" t="s">
        <v>396</v>
      </c>
      <c r="I209" t="s">
        <v>398</v>
      </c>
      <c r="J209" s="22">
        <v>0</v>
      </c>
      <c r="K209" s="22">
        <v>0</v>
      </c>
      <c r="L209" s="22">
        <v>0</v>
      </c>
      <c r="M209" s="22">
        <v>0</v>
      </c>
      <c r="N209" s="22">
        <v>0</v>
      </c>
      <c r="O209" s="22">
        <v>0</v>
      </c>
      <c r="P209" s="22">
        <v>0.0005</v>
      </c>
      <c r="Q209" s="22">
        <v>0</v>
      </c>
      <c r="R209" s="22">
        <v>0</v>
      </c>
      <c r="S209" s="22">
        <v>0</v>
      </c>
      <c r="AJ209">
        <v>0</v>
      </c>
    </row>
    <row r="210" spans="1:36" x14ac:dyDescent="0.25">
      <c r="A210" t="s">
        <v>392</v>
      </c>
      <c r="B210" t="s">
        <v>132</v>
      </c>
      <c r="C210" t="s">
        <v>24</v>
      </c>
      <c r="D210" t="s">
        <v>25</v>
      </c>
      <c r="E210" t="s">
        <v>26</v>
      </c>
      <c r="F210" s="1" t="s">
        <v>393</v>
      </c>
      <c r="G210" t="s">
        <v>399</v>
      </c>
      <c r="I210" t="s">
        <v>28</v>
      </c>
      <c r="J210" s="22">
        <v>0</v>
      </c>
      <c r="K210" s="22">
        <v>0</v>
      </c>
      <c r="L210" s="22">
        <v>0</v>
      </c>
      <c r="M210" s="22">
        <v>0</v>
      </c>
      <c r="N210" s="22">
        <v>0</v>
      </c>
      <c r="O210" s="22">
        <v>0</v>
      </c>
      <c r="P210" s="22">
        <v>0.16</v>
      </c>
      <c r="Q210" s="22">
        <v>0</v>
      </c>
      <c r="R210" s="22">
        <v>0</v>
      </c>
      <c r="S210" s="22">
        <v>0</v>
      </c>
      <c r="AJ210">
        <v>0</v>
      </c>
    </row>
    <row r="211" spans="1:36" x14ac:dyDescent="0.25">
      <c r="A211" t="s">
        <v>392</v>
      </c>
      <c r="B211" t="s">
        <v>132</v>
      </c>
      <c r="C211" t="s">
        <v>24</v>
      </c>
      <c r="D211" t="s">
        <v>400</v>
      </c>
      <c r="E211" t="s">
        <v>54</v>
      </c>
      <c r="F211" s="1" t="s">
        <v>393</v>
      </c>
      <c r="G211" t="s">
        <v>399</v>
      </c>
      <c r="I211" t="s">
        <v>401</v>
      </c>
      <c r="J211" s="22">
        <v>0</v>
      </c>
      <c r="K211" s="22">
        <v>0</v>
      </c>
      <c r="L211" s="22">
        <v>0</v>
      </c>
      <c r="M211" s="22">
        <v>0</v>
      </c>
      <c r="N211" s="22">
        <v>0</v>
      </c>
      <c r="O211" s="22">
        <v>0</v>
      </c>
      <c r="P211" s="22">
        <v>0</v>
      </c>
      <c r="Q211" s="22">
        <v>0</v>
      </c>
      <c r="R211" s="22">
        <v>0</v>
      </c>
      <c r="S211" s="22">
        <v>0</v>
      </c>
      <c r="AJ211">
        <v>0</v>
      </c>
    </row>
    <row r="212" spans="1:36" x14ac:dyDescent="0.25">
      <c r="A212" t="s">
        <v>392</v>
      </c>
      <c r="B212" t="s">
        <v>402</v>
      </c>
      <c r="C212" t="s">
        <v>24</v>
      </c>
      <c r="D212" t="s">
        <v>25</v>
      </c>
      <c r="E212" t="s">
        <v>26</v>
      </c>
      <c r="F212" s="1" t="s">
        <v>393</v>
      </c>
      <c r="G212" t="s">
        <v>403</v>
      </c>
      <c r="I212" t="s">
        <v>28</v>
      </c>
      <c r="J212" s="22">
        <v>0</v>
      </c>
      <c r="K212" s="22">
        <v>0</v>
      </c>
      <c r="L212" s="22">
        <v>0</v>
      </c>
      <c r="M212" s="22">
        <v>0</v>
      </c>
      <c r="N212" s="22">
        <v>0</v>
      </c>
      <c r="O212" s="22">
        <v>0</v>
      </c>
      <c r="P212" s="22">
        <v>0.0034</v>
      </c>
      <c r="Q212" s="22">
        <v>0</v>
      </c>
      <c r="R212" s="22">
        <v>0</v>
      </c>
      <c r="S212" s="22">
        <v>0</v>
      </c>
      <c r="AJ212">
        <v>0</v>
      </c>
    </row>
    <row r="213" spans="1:36" x14ac:dyDescent="0.25">
      <c r="A213" t="s">
        <v>392</v>
      </c>
      <c r="B213" t="s">
        <v>404</v>
      </c>
      <c r="C213" t="s">
        <v>24</v>
      </c>
      <c r="D213" t="s">
        <v>25</v>
      </c>
      <c r="E213" t="s">
        <v>26</v>
      </c>
      <c r="F213" s="1" t="s">
        <v>393</v>
      </c>
      <c r="G213" t="s">
        <v>405</v>
      </c>
      <c r="I213" t="s">
        <v>28</v>
      </c>
      <c r="J213" s="22">
        <v>0</v>
      </c>
      <c r="K213" s="22">
        <v>0</v>
      </c>
      <c r="L213" s="22">
        <v>0</v>
      </c>
      <c r="M213" s="22">
        <v>0</v>
      </c>
      <c r="N213" s="22">
        <v>0</v>
      </c>
      <c r="O213" s="22">
        <v>0</v>
      </c>
      <c r="P213" s="22">
        <v>0.19</v>
      </c>
      <c r="Q213" s="22">
        <v>0</v>
      </c>
      <c r="R213" s="22">
        <v>0</v>
      </c>
      <c r="S213" s="22">
        <v>0</v>
      </c>
      <c r="AJ213">
        <v>0</v>
      </c>
    </row>
    <row r="214" spans="1:36" x14ac:dyDescent="0.25">
      <c r="A214" t="s">
        <v>392</v>
      </c>
      <c r="B214" t="s">
        <v>42</v>
      </c>
      <c r="C214" t="s">
        <v>24</v>
      </c>
      <c r="D214" t="s">
        <v>25</v>
      </c>
      <c r="E214" t="s">
        <v>26</v>
      </c>
      <c r="F214" s="1" t="s">
        <v>393</v>
      </c>
      <c r="G214" t="s">
        <v>406</v>
      </c>
      <c r="I214" t="s">
        <v>28</v>
      </c>
      <c r="J214" s="22">
        <v>1</v>
      </c>
      <c r="K214" s="22">
        <v>1</v>
      </c>
      <c r="L214" s="22">
        <v>1</v>
      </c>
      <c r="M214" s="22">
        <v>1</v>
      </c>
      <c r="N214" s="22">
        <v>1</v>
      </c>
      <c r="O214" s="22">
        <v>1</v>
      </c>
      <c r="P214" s="22">
        <v>0</v>
      </c>
      <c r="Q214" s="22">
        <v>1</v>
      </c>
      <c r="R214" s="22">
        <v>1</v>
      </c>
      <c r="S214" s="22">
        <v>1</v>
      </c>
      <c r="AJ214">
        <v>0</v>
      </c>
    </row>
    <row r="215" spans="1:36" x14ac:dyDescent="0.25">
      <c r="A215" t="s">
        <v>392</v>
      </c>
      <c r="B215" t="s">
        <v>407</v>
      </c>
      <c r="C215" t="s">
        <v>24</v>
      </c>
      <c r="D215" t="s">
        <v>25</v>
      </c>
      <c r="E215" t="s">
        <v>26</v>
      </c>
      <c r="F215" s="1" t="s">
        <v>393</v>
      </c>
      <c r="G215" t="s">
        <v>408</v>
      </c>
      <c r="I215" t="s">
        <v>28</v>
      </c>
      <c r="J215" s="22">
        <v>0</v>
      </c>
      <c r="K215" s="22">
        <v>0</v>
      </c>
      <c r="L215" s="22">
        <v>0</v>
      </c>
      <c r="M215" s="22">
        <v>0</v>
      </c>
      <c r="N215" s="22">
        <v>0</v>
      </c>
      <c r="O215" s="22">
        <v>0</v>
      </c>
      <c r="P215" s="22">
        <v>0.02</v>
      </c>
      <c r="Q215" s="22">
        <v>0</v>
      </c>
      <c r="R215" s="22">
        <v>0</v>
      </c>
      <c r="S215" s="22">
        <v>0</v>
      </c>
      <c r="AJ215">
        <v>0</v>
      </c>
    </row>
    <row r="216" spans="1:36" x14ac:dyDescent="0.25">
      <c r="A216" t="s">
        <v>290</v>
      </c>
      <c r="B216" t="s">
        <v>24</v>
      </c>
      <c r="C216" t="s">
        <v>24</v>
      </c>
      <c r="D216" t="s">
        <v>25</v>
      </c>
      <c r="E216" t="s">
        <v>26</v>
      </c>
      <c r="F216" s="1" t="s">
        <v>409</v>
      </c>
      <c r="I216" t="s">
        <v>28</v>
      </c>
      <c r="J216" s="22">
        <v>1</v>
      </c>
      <c r="K216" s="22">
        <v>1</v>
      </c>
      <c r="L216" s="22">
        <v>1</v>
      </c>
      <c r="M216" s="22">
        <v>1</v>
      </c>
      <c r="N216" s="22">
        <v>1</v>
      </c>
      <c r="O216" s="22">
        <v>1</v>
      </c>
      <c r="P216" s="22">
        <v>1</v>
      </c>
      <c r="Q216" s="22">
        <v>1</v>
      </c>
      <c r="R216" s="22">
        <v>1</v>
      </c>
      <c r="S216" s="22">
        <v>1</v>
      </c>
      <c r="AJ216">
        <v>0</v>
      </c>
    </row>
    <row r="217" spans="1:36" x14ac:dyDescent="0.25">
      <c r="A217" t="s">
        <v>410</v>
      </c>
      <c r="B217" t="s">
        <v>411</v>
      </c>
      <c r="C217" t="s">
        <v>24</v>
      </c>
      <c r="D217" t="s">
        <v>25</v>
      </c>
      <c r="E217" t="s">
        <v>26</v>
      </c>
      <c r="F217" s="1" t="s">
        <v>412</v>
      </c>
      <c r="G217" t="s">
        <v>413</v>
      </c>
      <c r="I217" t="s">
        <v>28</v>
      </c>
      <c r="J217" s="22">
        <v>0.492</v>
      </c>
      <c r="K217" s="22">
        <v>0.492</v>
      </c>
      <c r="L217" s="22">
        <v>0.492</v>
      </c>
      <c r="M217" s="22">
        <v>0.492</v>
      </c>
      <c r="N217" s="22">
        <v>0.492</v>
      </c>
      <c r="O217" s="22">
        <v>0.503</v>
      </c>
      <c r="P217" s="22">
        <v>0.492</v>
      </c>
      <c r="Q217" s="22">
        <v>0.492</v>
      </c>
      <c r="R217" s="22">
        <v>0.492</v>
      </c>
      <c r="S217" s="22">
        <v>0.492</v>
      </c>
      <c r="AJ217">
        <v>0</v>
      </c>
    </row>
    <row r="218" spans="1:36" x14ac:dyDescent="0.25">
      <c r="A218" t="s">
        <v>410</v>
      </c>
      <c r="B218" t="s">
        <v>411</v>
      </c>
      <c r="C218" t="s">
        <v>24</v>
      </c>
      <c r="D218" t="s">
        <v>25</v>
      </c>
      <c r="E218" t="s">
        <v>143</v>
      </c>
      <c r="F218" s="1" t="s">
        <v>412</v>
      </c>
      <c r="G218" t="s">
        <v>413</v>
      </c>
      <c r="I218" t="s">
        <v>144</v>
      </c>
      <c r="J218" s="22">
        <v>0.01</v>
      </c>
      <c r="K218" s="22">
        <v>0.01</v>
      </c>
      <c r="L218" s="22">
        <v>0.01</v>
      </c>
      <c r="M218" s="22">
        <v>0.01</v>
      </c>
      <c r="N218" s="22">
        <v>0.01</v>
      </c>
      <c r="O218" s="22">
        <v>0</v>
      </c>
      <c r="P218" s="22">
        <v>0.01</v>
      </c>
      <c r="Q218" s="22">
        <v>0.01</v>
      </c>
      <c r="R218" s="22">
        <v>0.01</v>
      </c>
      <c r="S218" s="22">
        <v>0.01</v>
      </c>
      <c r="AJ218">
        <v>0</v>
      </c>
    </row>
    <row r="219" spans="1:36" x14ac:dyDescent="0.25">
      <c r="A219" t="s">
        <v>410</v>
      </c>
      <c r="B219" t="s">
        <v>414</v>
      </c>
      <c r="C219" t="s">
        <v>24</v>
      </c>
      <c r="D219" t="s">
        <v>25</v>
      </c>
      <c r="E219" t="s">
        <v>26</v>
      </c>
      <c r="F219" s="1" t="s">
        <v>412</v>
      </c>
      <c r="G219" t="s">
        <v>415</v>
      </c>
      <c r="I219" t="s">
        <v>28</v>
      </c>
      <c r="J219" s="22">
        <v>0.032</v>
      </c>
      <c r="K219" s="22">
        <v>0.032</v>
      </c>
      <c r="L219" s="22">
        <v>0.032</v>
      </c>
      <c r="M219" s="22">
        <v>0.032</v>
      </c>
      <c r="N219" s="22">
        <v>0.032</v>
      </c>
      <c r="O219" s="22">
        <v>0.106</v>
      </c>
      <c r="P219" s="22">
        <v>0.032</v>
      </c>
      <c r="Q219" s="22">
        <v>0.032</v>
      </c>
      <c r="R219" s="22">
        <v>0.032</v>
      </c>
      <c r="S219" s="22">
        <v>0.032</v>
      </c>
      <c r="AJ219">
        <v>0</v>
      </c>
    </row>
    <row r="220" spans="1:36" x14ac:dyDescent="0.25">
      <c r="A220" t="s">
        <v>410</v>
      </c>
      <c r="B220" t="s">
        <v>414</v>
      </c>
      <c r="C220" t="s">
        <v>24</v>
      </c>
      <c r="D220" t="s">
        <v>25</v>
      </c>
      <c r="E220" t="s">
        <v>143</v>
      </c>
      <c r="F220" s="1" t="s">
        <v>412</v>
      </c>
      <c r="G220" t="s">
        <v>415</v>
      </c>
      <c r="I220" t="s">
        <v>144</v>
      </c>
      <c r="J220" s="22">
        <v>0.075</v>
      </c>
      <c r="K220" s="22">
        <v>0.075</v>
      </c>
      <c r="L220" s="22">
        <v>0.075</v>
      </c>
      <c r="M220" s="22">
        <v>0.075</v>
      </c>
      <c r="N220" s="22">
        <v>0.075</v>
      </c>
      <c r="O220" s="22">
        <v>0</v>
      </c>
      <c r="P220" s="22">
        <v>0.075</v>
      </c>
      <c r="Q220" s="22">
        <v>0.075</v>
      </c>
      <c r="R220" s="22">
        <v>0.075</v>
      </c>
      <c r="S220" s="22">
        <v>0.075</v>
      </c>
      <c r="AJ220">
        <v>0</v>
      </c>
    </row>
    <row r="221" spans="1:36" x14ac:dyDescent="0.25">
      <c r="A221" t="s">
        <v>410</v>
      </c>
      <c r="B221" t="s">
        <v>414</v>
      </c>
      <c r="C221" t="s">
        <v>24</v>
      </c>
      <c r="D221" t="s">
        <v>416</v>
      </c>
      <c r="E221" t="s">
        <v>26</v>
      </c>
      <c r="F221" s="1" t="s">
        <v>412</v>
      </c>
      <c r="G221" t="s">
        <v>415</v>
      </c>
      <c r="I221" t="s">
        <v>417</v>
      </c>
      <c r="J221" s="22">
        <v>0.003</v>
      </c>
      <c r="K221" s="22">
        <v>0.003</v>
      </c>
      <c r="L221" s="22">
        <v>0.003</v>
      </c>
      <c r="M221" s="22">
        <v>0.003</v>
      </c>
      <c r="N221" s="22">
        <v>0.003</v>
      </c>
      <c r="O221" s="22">
        <v>0.003</v>
      </c>
      <c r="P221" s="22">
        <v>0.003</v>
      </c>
      <c r="Q221" s="22">
        <v>0.003</v>
      </c>
      <c r="R221" s="22">
        <v>0.003</v>
      </c>
      <c r="S221" s="22">
        <v>0.003</v>
      </c>
      <c r="AJ221">
        <v>0</v>
      </c>
    </row>
    <row r="222" spans="1:36" x14ac:dyDescent="0.25">
      <c r="A222" t="s">
        <v>410</v>
      </c>
      <c r="B222" t="s">
        <v>414</v>
      </c>
      <c r="C222" t="s">
        <v>24</v>
      </c>
      <c r="D222" t="s">
        <v>418</v>
      </c>
      <c r="E222" t="s">
        <v>26</v>
      </c>
      <c r="F222" s="1" t="s">
        <v>412</v>
      </c>
      <c r="G222" t="s">
        <v>415</v>
      </c>
      <c r="I222" t="s">
        <v>419</v>
      </c>
      <c r="J222" s="22">
        <v>0.019</v>
      </c>
      <c r="K222" s="22">
        <v>0.019</v>
      </c>
      <c r="L222" s="22">
        <v>0.019</v>
      </c>
      <c r="M222" s="22">
        <v>0.019</v>
      </c>
      <c r="N222" s="22">
        <v>0.019</v>
      </c>
      <c r="O222" s="22">
        <v>0.019</v>
      </c>
      <c r="P222" s="22">
        <v>0.019</v>
      </c>
      <c r="Q222" s="22">
        <v>0.019</v>
      </c>
      <c r="R222" s="22">
        <v>0.019</v>
      </c>
      <c r="S222" s="22">
        <v>0.019</v>
      </c>
      <c r="AJ222">
        <v>0</v>
      </c>
    </row>
    <row r="223" spans="1:36" x14ac:dyDescent="0.25">
      <c r="A223" t="s">
        <v>410</v>
      </c>
      <c r="B223" t="s">
        <v>414</v>
      </c>
      <c r="C223" t="s">
        <v>24</v>
      </c>
      <c r="D223" t="s">
        <v>420</v>
      </c>
      <c r="E223" t="s">
        <v>54</v>
      </c>
      <c r="F223" s="1" t="s">
        <v>412</v>
      </c>
      <c r="G223" t="s">
        <v>415</v>
      </c>
      <c r="I223" t="s">
        <v>421</v>
      </c>
      <c r="J223" s="22">
        <v>0.038</v>
      </c>
      <c r="K223" s="22">
        <v>0.038</v>
      </c>
      <c r="L223" s="22">
        <v>0.038</v>
      </c>
      <c r="M223" s="22">
        <v>0.038</v>
      </c>
      <c r="N223" s="22">
        <v>0.038</v>
      </c>
      <c r="O223" s="22">
        <v>0.038</v>
      </c>
      <c r="P223" s="22">
        <v>0.038</v>
      </c>
      <c r="Q223" s="22">
        <v>0.038</v>
      </c>
      <c r="R223" s="22">
        <v>0.038</v>
      </c>
      <c r="S223" s="22">
        <v>0.038</v>
      </c>
      <c r="AJ223">
        <v>0</v>
      </c>
    </row>
    <row r="224" spans="1:36" x14ac:dyDescent="0.25">
      <c r="A224" t="s">
        <v>410</v>
      </c>
      <c r="B224" t="s">
        <v>414</v>
      </c>
      <c r="C224" t="s">
        <v>24</v>
      </c>
      <c r="D224" t="s">
        <v>422</v>
      </c>
      <c r="E224" t="s">
        <v>54</v>
      </c>
      <c r="F224" s="1" t="s">
        <v>412</v>
      </c>
      <c r="G224" t="s">
        <v>415</v>
      </c>
      <c r="I224" t="s">
        <v>423</v>
      </c>
      <c r="J224" s="22">
        <v>0.034</v>
      </c>
      <c r="K224" s="22">
        <v>0.034</v>
      </c>
      <c r="L224" s="22">
        <v>0.034</v>
      </c>
      <c r="M224" s="22">
        <v>0.034</v>
      </c>
      <c r="N224" s="22">
        <v>0.034</v>
      </c>
      <c r="O224" s="22">
        <v>0.034</v>
      </c>
      <c r="P224" s="22">
        <v>0.034</v>
      </c>
      <c r="Q224" s="22">
        <v>0.034</v>
      </c>
      <c r="R224" s="22">
        <v>0.034</v>
      </c>
      <c r="S224" s="22">
        <v>0.034</v>
      </c>
      <c r="AJ224">
        <v>0</v>
      </c>
    </row>
    <row r="225" spans="1:36" x14ac:dyDescent="0.25">
      <c r="A225" t="s">
        <v>410</v>
      </c>
      <c r="B225" t="s">
        <v>414</v>
      </c>
      <c r="C225" t="s">
        <v>24</v>
      </c>
      <c r="D225" t="s">
        <v>424</v>
      </c>
      <c r="E225" t="s">
        <v>54</v>
      </c>
      <c r="F225" s="1" t="s">
        <v>412</v>
      </c>
      <c r="G225" t="s">
        <v>415</v>
      </c>
      <c r="I225" t="s">
        <v>425</v>
      </c>
      <c r="J225" s="22">
        <v>0.017</v>
      </c>
      <c r="K225" s="22">
        <v>0.017</v>
      </c>
      <c r="L225" s="22">
        <v>0.017</v>
      </c>
      <c r="M225" s="22">
        <v>0.017</v>
      </c>
      <c r="N225" s="22">
        <v>0.017</v>
      </c>
      <c r="O225" s="22">
        <v>0.017</v>
      </c>
      <c r="P225" s="22">
        <v>0.017</v>
      </c>
      <c r="Q225" s="22">
        <v>0.017</v>
      </c>
      <c r="R225" s="22">
        <v>0.017</v>
      </c>
      <c r="S225" s="22">
        <v>0.017</v>
      </c>
      <c r="AJ225">
        <v>0</v>
      </c>
    </row>
    <row r="226" spans="1:36" x14ac:dyDescent="0.25">
      <c r="A226" t="s">
        <v>410</v>
      </c>
      <c r="B226" t="s">
        <v>414</v>
      </c>
      <c r="C226" t="s">
        <v>24</v>
      </c>
      <c r="D226" t="s">
        <v>426</v>
      </c>
      <c r="E226" t="s">
        <v>54</v>
      </c>
      <c r="F226" s="1" t="s">
        <v>412</v>
      </c>
      <c r="G226" t="s">
        <v>415</v>
      </c>
      <c r="I226" t="s">
        <v>427</v>
      </c>
      <c r="J226" s="22">
        <v>0.28</v>
      </c>
      <c r="K226" s="22">
        <v>0.28</v>
      </c>
      <c r="L226" s="22">
        <v>0.28</v>
      </c>
      <c r="M226" s="22">
        <v>0.28</v>
      </c>
      <c r="N226" s="22">
        <v>0.28</v>
      </c>
      <c r="O226" s="22">
        <v>0.28</v>
      </c>
      <c r="P226" s="22">
        <v>0.28</v>
      </c>
      <c r="Q226" s="22">
        <v>0.28</v>
      </c>
      <c r="R226" s="22">
        <v>0.28</v>
      </c>
      <c r="S226" s="22">
        <v>0.28</v>
      </c>
      <c r="AJ226">
        <v>0</v>
      </c>
    </row>
    <row r="227" spans="1:36" x14ac:dyDescent="0.25">
      <c r="A227" t="s">
        <v>428</v>
      </c>
      <c r="B227" t="s">
        <v>24</v>
      </c>
      <c r="C227" t="s">
        <v>24</v>
      </c>
      <c r="D227" t="s">
        <v>429</v>
      </c>
      <c r="E227" t="s">
        <v>54</v>
      </c>
      <c r="F227" s="1" t="s">
        <v>430</v>
      </c>
      <c r="I227" t="s">
        <v>431</v>
      </c>
      <c r="J227" s="22">
        <v>1</v>
      </c>
      <c r="K227" s="22">
        <v>1</v>
      </c>
      <c r="L227" s="22">
        <v>1</v>
      </c>
      <c r="M227" s="22">
        <v>1</v>
      </c>
      <c r="N227" s="22">
        <v>1</v>
      </c>
      <c r="O227" s="22">
        <v>1</v>
      </c>
      <c r="P227" s="22">
        <v>1</v>
      </c>
      <c r="Q227" s="22">
        <v>1</v>
      </c>
      <c r="R227" s="22">
        <v>1</v>
      </c>
      <c r="S227" s="22">
        <v>1</v>
      </c>
      <c r="AJ227">
        <v>0</v>
      </c>
    </row>
    <row r="228" spans="1:36" x14ac:dyDescent="0.25">
      <c r="A228" t="s">
        <v>432</v>
      </c>
      <c r="B228" t="s">
        <v>376</v>
      </c>
      <c r="C228" t="s">
        <v>24</v>
      </c>
      <c r="D228" t="s">
        <v>25</v>
      </c>
      <c r="E228" t="s">
        <v>26</v>
      </c>
      <c r="F228" s="1" t="s">
        <v>433</v>
      </c>
      <c r="G228" t="s">
        <v>434</v>
      </c>
      <c r="I228" t="s">
        <v>28</v>
      </c>
      <c r="J228" s="22">
        <v>1</v>
      </c>
      <c r="K228" s="22">
        <v>1</v>
      </c>
      <c r="L228" s="22">
        <v>1</v>
      </c>
      <c r="M228" s="22">
        <v>1</v>
      </c>
      <c r="N228" s="22">
        <v>1</v>
      </c>
      <c r="O228" s="22">
        <v>1</v>
      </c>
      <c r="P228" s="22">
        <v>1</v>
      </c>
      <c r="Q228" s="22">
        <v>1</v>
      </c>
      <c r="R228" s="22">
        <v>1</v>
      </c>
      <c r="S228" s="22">
        <v>1</v>
      </c>
      <c r="AJ228">
        <v>0</v>
      </c>
    </row>
    <row r="229" spans="1:36" x14ac:dyDescent="0.25">
      <c r="A229" t="s">
        <v>435</v>
      </c>
      <c r="B229" t="s">
        <v>24</v>
      </c>
      <c r="C229" t="s">
        <v>24</v>
      </c>
      <c r="D229" t="s">
        <v>25</v>
      </c>
      <c r="E229" t="s">
        <v>26</v>
      </c>
      <c r="F229" s="1" t="s">
        <v>436</v>
      </c>
      <c r="I229" t="s">
        <v>28</v>
      </c>
      <c r="J229" s="22">
        <v>1</v>
      </c>
      <c r="K229" s="22">
        <v>1</v>
      </c>
      <c r="L229" s="22">
        <v>1</v>
      </c>
      <c r="M229" s="22">
        <v>1</v>
      </c>
      <c r="N229" s="22">
        <v>1</v>
      </c>
      <c r="O229" s="22">
        <v>1</v>
      </c>
      <c r="P229" s="22">
        <v>1</v>
      </c>
      <c r="Q229" s="22">
        <v>1</v>
      </c>
      <c r="R229" s="22">
        <v>1</v>
      </c>
      <c r="S229" s="22">
        <v>1</v>
      </c>
      <c r="AJ229">
        <v>0</v>
      </c>
    </row>
    <row r="230" spans="1:36" x14ac:dyDescent="0.25">
      <c r="A230" t="s">
        <v>437</v>
      </c>
      <c r="B230" t="s">
        <v>24</v>
      </c>
      <c r="C230" t="s">
        <v>24</v>
      </c>
      <c r="D230" t="s">
        <v>25</v>
      </c>
      <c r="E230" t="s">
        <v>26</v>
      </c>
      <c r="F230" s="1" t="s">
        <v>438</v>
      </c>
      <c r="I230" t="s">
        <v>28</v>
      </c>
      <c r="J230" s="22">
        <v>1</v>
      </c>
      <c r="K230" s="22">
        <v>1</v>
      </c>
      <c r="L230" s="22">
        <v>1</v>
      </c>
      <c r="M230" s="22">
        <v>1</v>
      </c>
      <c r="N230" s="22">
        <v>1</v>
      </c>
      <c r="O230" s="22">
        <v>1</v>
      </c>
      <c r="P230" s="22">
        <v>1</v>
      </c>
      <c r="Q230" s="22">
        <v>1</v>
      </c>
      <c r="R230" s="22">
        <v>1</v>
      </c>
      <c r="S230" s="22">
        <v>1</v>
      </c>
      <c r="AJ230">
        <v>0</v>
      </c>
    </row>
    <row r="231" spans="1:36" x14ac:dyDescent="0.25">
      <c r="A231" t="s">
        <v>439</v>
      </c>
      <c r="B231" t="s">
        <v>24</v>
      </c>
      <c r="C231" t="s">
        <v>24</v>
      </c>
      <c r="D231" t="s">
        <v>25</v>
      </c>
      <c r="E231" t="s">
        <v>26</v>
      </c>
      <c r="F231" s="1" t="s">
        <v>440</v>
      </c>
      <c r="I231" t="s">
        <v>28</v>
      </c>
      <c r="J231" s="22">
        <v>0.7</v>
      </c>
      <c r="K231" s="22">
        <v>0.7</v>
      </c>
      <c r="L231" s="22">
        <v>0.7</v>
      </c>
      <c r="M231" s="22">
        <v>0.7</v>
      </c>
      <c r="N231" s="22">
        <v>0.7</v>
      </c>
      <c r="O231" s="22">
        <v>0.97</v>
      </c>
      <c r="P231" s="22">
        <v>0.7</v>
      </c>
      <c r="Q231" s="22">
        <v>0.7</v>
      </c>
      <c r="R231" s="22">
        <v>0.7</v>
      </c>
      <c r="S231" s="22">
        <v>0.7</v>
      </c>
      <c r="AJ231">
        <v>0</v>
      </c>
    </row>
    <row r="232" spans="1:36" x14ac:dyDescent="0.25">
      <c r="A232" t="s">
        <v>439</v>
      </c>
      <c r="B232" t="s">
        <v>24</v>
      </c>
      <c r="C232" t="s">
        <v>24</v>
      </c>
      <c r="D232" t="s">
        <v>25</v>
      </c>
      <c r="E232" t="s">
        <v>143</v>
      </c>
      <c r="F232" s="1" t="s">
        <v>440</v>
      </c>
      <c r="I232" t="s">
        <v>144</v>
      </c>
      <c r="J232" s="22">
        <v>0.27</v>
      </c>
      <c r="K232" s="22">
        <v>0.27</v>
      </c>
      <c r="L232" s="22">
        <v>0.27</v>
      </c>
      <c r="M232" s="22">
        <v>0.27</v>
      </c>
      <c r="N232" s="22">
        <v>0.27</v>
      </c>
      <c r="O232" s="22">
        <v>0</v>
      </c>
      <c r="P232" s="22">
        <v>0.27</v>
      </c>
      <c r="Q232" s="22">
        <v>0.27</v>
      </c>
      <c r="R232" s="22">
        <v>0.27</v>
      </c>
      <c r="S232" s="22">
        <v>0.27</v>
      </c>
      <c r="AJ232">
        <v>0</v>
      </c>
    </row>
    <row r="233" spans="1:36" x14ac:dyDescent="0.25">
      <c r="A233" t="s">
        <v>439</v>
      </c>
      <c r="B233" t="s">
        <v>24</v>
      </c>
      <c r="C233" t="s">
        <v>24</v>
      </c>
      <c r="D233" t="s">
        <v>418</v>
      </c>
      <c r="E233" t="s">
        <v>26</v>
      </c>
      <c r="F233" s="1" t="s">
        <v>441</v>
      </c>
      <c r="I233" t="s">
        <v>442</v>
      </c>
      <c r="J233" s="22">
        <v>0.01</v>
      </c>
      <c r="K233" s="22">
        <v>0.01</v>
      </c>
      <c r="L233" s="22">
        <v>0.01</v>
      </c>
      <c r="M233" s="22">
        <v>0.01</v>
      </c>
      <c r="N233" s="22">
        <v>0.01</v>
      </c>
      <c r="O233" s="22">
        <v>0.01</v>
      </c>
      <c r="P233" s="22">
        <v>0.01</v>
      </c>
      <c r="Q233" s="22">
        <v>0.01</v>
      </c>
      <c r="R233" s="22">
        <v>0.01</v>
      </c>
      <c r="S233" s="22">
        <v>0.01</v>
      </c>
      <c r="AJ233">
        <v>0</v>
      </c>
    </row>
    <row r="234" spans="1:36" x14ac:dyDescent="0.25">
      <c r="A234" t="s">
        <v>439</v>
      </c>
      <c r="B234" t="s">
        <v>24</v>
      </c>
      <c r="C234" t="s">
        <v>24</v>
      </c>
      <c r="D234" t="s">
        <v>443</v>
      </c>
      <c r="E234" t="s">
        <v>54</v>
      </c>
      <c r="F234" s="1" t="s">
        <v>440</v>
      </c>
      <c r="I234" t="s">
        <v>444</v>
      </c>
      <c r="J234" s="22">
        <v>0.02</v>
      </c>
      <c r="K234" s="22">
        <v>0.02</v>
      </c>
      <c r="L234" s="22">
        <v>0.02</v>
      </c>
      <c r="M234" s="22">
        <v>0.02</v>
      </c>
      <c r="N234" s="22">
        <v>0.02</v>
      </c>
      <c r="O234" s="22">
        <v>0.02</v>
      </c>
      <c r="P234" s="22">
        <v>0.02</v>
      </c>
      <c r="Q234" s="22">
        <v>0.02</v>
      </c>
      <c r="R234" s="22">
        <v>0.02</v>
      </c>
      <c r="S234" s="22">
        <v>0.02</v>
      </c>
      <c r="AJ234">
        <v>0</v>
      </c>
    </row>
    <row r="235" spans="1:36" x14ac:dyDescent="0.25">
      <c r="A235" t="s">
        <v>445</v>
      </c>
      <c r="B235" t="s">
        <v>24</v>
      </c>
      <c r="C235" t="s">
        <v>24</v>
      </c>
      <c r="D235" t="s">
        <v>25</v>
      </c>
      <c r="E235" t="s">
        <v>26</v>
      </c>
      <c r="F235" s="1" t="s">
        <v>446</v>
      </c>
      <c r="I235" t="s">
        <v>28</v>
      </c>
      <c r="J235" s="22">
        <v>1</v>
      </c>
      <c r="K235" s="22">
        <v>1</v>
      </c>
      <c r="L235" s="22">
        <v>1</v>
      </c>
      <c r="M235" s="22">
        <v>0.75</v>
      </c>
      <c r="N235" s="22">
        <v>1</v>
      </c>
      <c r="O235" s="22">
        <v>1</v>
      </c>
      <c r="P235" s="22">
        <v>1</v>
      </c>
      <c r="Q235" s="22">
        <v>1</v>
      </c>
      <c r="R235" s="22">
        <v>1</v>
      </c>
      <c r="S235" s="22">
        <v>1</v>
      </c>
      <c r="AJ235">
        <v>0</v>
      </c>
    </row>
    <row r="236" spans="1:36" x14ac:dyDescent="0.25">
      <c r="A236" t="s">
        <v>445</v>
      </c>
      <c r="B236" t="s">
        <v>24</v>
      </c>
      <c r="C236" t="s">
        <v>24</v>
      </c>
      <c r="D236" t="s">
        <v>25</v>
      </c>
      <c r="E236" t="s">
        <v>143</v>
      </c>
      <c r="F236" s="1" t="s">
        <v>446</v>
      </c>
      <c r="I236" t="s">
        <v>144</v>
      </c>
      <c r="J236" s="22">
        <v>0</v>
      </c>
      <c r="K236" s="22">
        <v>0</v>
      </c>
      <c r="L236" s="22">
        <v>0</v>
      </c>
      <c r="M236" s="22">
        <v>0.25</v>
      </c>
      <c r="N236" s="22">
        <v>0</v>
      </c>
      <c r="O236" s="22">
        <v>0</v>
      </c>
      <c r="P236" s="22">
        <v>0</v>
      </c>
      <c r="Q236" s="22">
        <v>0</v>
      </c>
      <c r="R236" s="22">
        <v>0</v>
      </c>
      <c r="S236" s="22">
        <v>0</v>
      </c>
      <c r="AJ236">
        <v>0</v>
      </c>
    </row>
    <row r="237" spans="1:36" x14ac:dyDescent="0.25">
      <c r="A237" t="s">
        <v>447</v>
      </c>
      <c r="B237" t="s">
        <v>24</v>
      </c>
      <c r="C237" t="s">
        <v>24</v>
      </c>
      <c r="D237" t="s">
        <v>448</v>
      </c>
      <c r="E237" t="s">
        <v>26</v>
      </c>
      <c r="F237" s="1" t="s">
        <v>449</v>
      </c>
      <c r="I237" t="s">
        <v>450</v>
      </c>
      <c r="J237" s="22">
        <v>1</v>
      </c>
      <c r="K237" s="22">
        <v>1</v>
      </c>
      <c r="L237" s="22">
        <v>1</v>
      </c>
      <c r="M237" s="22">
        <v>1</v>
      </c>
      <c r="N237" s="22">
        <v>1</v>
      </c>
      <c r="O237" s="22">
        <v>1</v>
      </c>
      <c r="P237" s="22">
        <v>1</v>
      </c>
      <c r="Q237" s="22">
        <v>1</v>
      </c>
      <c r="R237" s="22">
        <v>1</v>
      </c>
      <c r="S237" s="22">
        <v>1</v>
      </c>
      <c r="AJ237">
        <v>0</v>
      </c>
    </row>
    <row r="238" spans="1:36" x14ac:dyDescent="0.25">
      <c r="A238" t="s">
        <v>451</v>
      </c>
      <c r="B238" t="s">
        <v>24</v>
      </c>
      <c r="C238" t="s">
        <v>24</v>
      </c>
      <c r="D238" t="s">
        <v>25</v>
      </c>
      <c r="E238" t="s">
        <v>26</v>
      </c>
      <c r="F238" s="1" t="s">
        <v>452</v>
      </c>
      <c r="I238" t="s">
        <v>28</v>
      </c>
      <c r="J238" s="22">
        <v>0.42</v>
      </c>
      <c r="K238" s="22">
        <v>0.42</v>
      </c>
      <c r="L238" s="22">
        <v>0.42</v>
      </c>
      <c r="M238" s="22">
        <v>0.42</v>
      </c>
      <c r="N238" s="22">
        <v>0.42</v>
      </c>
      <c r="O238" s="22">
        <v>0.42</v>
      </c>
      <c r="P238" s="22">
        <v>0.42</v>
      </c>
      <c r="Q238" s="22">
        <v>0.42</v>
      </c>
      <c r="R238" s="22">
        <v>0.42</v>
      </c>
      <c r="S238" s="22">
        <v>0.42</v>
      </c>
      <c r="AJ238">
        <v>0</v>
      </c>
    </row>
    <row r="239" spans="1:36" x14ac:dyDescent="0.25">
      <c r="A239" t="s">
        <v>451</v>
      </c>
      <c r="B239" t="s">
        <v>24</v>
      </c>
      <c r="C239" t="s">
        <v>24</v>
      </c>
      <c r="D239" t="s">
        <v>453</v>
      </c>
      <c r="E239" t="s">
        <v>54</v>
      </c>
      <c r="F239" s="1" t="s">
        <v>452</v>
      </c>
      <c r="I239" t="s">
        <v>454</v>
      </c>
      <c r="J239" s="22">
        <v>0.58</v>
      </c>
      <c r="K239" s="22">
        <v>0.58</v>
      </c>
      <c r="L239" s="22">
        <v>0.58</v>
      </c>
      <c r="M239" s="22">
        <v>0.58</v>
      </c>
      <c r="N239" s="22">
        <v>0.58</v>
      </c>
      <c r="O239" s="22">
        <v>0.58</v>
      </c>
      <c r="P239" s="22">
        <v>0.58</v>
      </c>
      <c r="Q239" s="22">
        <v>0.58</v>
      </c>
      <c r="R239" s="22">
        <v>0.58</v>
      </c>
      <c r="S239" s="22">
        <v>0.58</v>
      </c>
      <c r="AJ239">
        <v>0</v>
      </c>
    </row>
    <row r="240" spans="1:36" x14ac:dyDescent="0.25">
      <c r="A240" t="s">
        <v>455</v>
      </c>
      <c r="B240" t="s">
        <v>24</v>
      </c>
      <c r="C240" t="s">
        <v>24</v>
      </c>
      <c r="D240" t="s">
        <v>25</v>
      </c>
      <c r="E240" t="s">
        <v>26</v>
      </c>
      <c r="F240" s="1" t="s">
        <v>456</v>
      </c>
      <c r="I240" t="s">
        <v>28</v>
      </c>
      <c r="J240" s="22">
        <v>0.56</v>
      </c>
      <c r="K240" s="22">
        <v>0.56</v>
      </c>
      <c r="L240" s="22">
        <v>0.56</v>
      </c>
      <c r="M240" s="22">
        <v>0.56</v>
      </c>
      <c r="N240" s="22">
        <v>0.56</v>
      </c>
      <c r="O240" s="22">
        <v>0.56</v>
      </c>
      <c r="P240" s="22">
        <v>0.56</v>
      </c>
      <c r="Q240" s="22">
        <v>0.56</v>
      </c>
      <c r="R240" s="22">
        <v>0.56</v>
      </c>
      <c r="S240" s="22">
        <v>0.56</v>
      </c>
      <c r="AJ240">
        <v>0</v>
      </c>
    </row>
    <row r="241" spans="1:36" x14ac:dyDescent="0.25">
      <c r="A241" t="s">
        <v>455</v>
      </c>
      <c r="B241" t="s">
        <v>24</v>
      </c>
      <c r="C241" t="s">
        <v>24</v>
      </c>
      <c r="D241" t="s">
        <v>453</v>
      </c>
      <c r="E241" t="s">
        <v>54</v>
      </c>
      <c r="F241" s="1" t="s">
        <v>456</v>
      </c>
      <c r="I241" t="s">
        <v>454</v>
      </c>
      <c r="J241" s="22">
        <v>0.44</v>
      </c>
      <c r="K241" s="22">
        <v>0.44</v>
      </c>
      <c r="L241" s="22">
        <v>0.44</v>
      </c>
      <c r="M241" s="22">
        <v>0.44</v>
      </c>
      <c r="N241" s="22">
        <v>0.44</v>
      </c>
      <c r="O241" s="22">
        <v>0.44</v>
      </c>
      <c r="P241" s="22">
        <v>0.44</v>
      </c>
      <c r="Q241" s="22">
        <v>0.44</v>
      </c>
      <c r="R241" s="22">
        <v>0.44</v>
      </c>
      <c r="S241" s="22">
        <v>0.44</v>
      </c>
      <c r="AJ241">
        <v>0</v>
      </c>
    </row>
    <row r="242" spans="1:36" x14ac:dyDescent="0.25">
      <c r="A242" t="s">
        <v>457</v>
      </c>
      <c r="B242" t="s">
        <v>24</v>
      </c>
      <c r="C242" t="s">
        <v>24</v>
      </c>
      <c r="D242" t="s">
        <v>25</v>
      </c>
      <c r="E242" t="s">
        <v>26</v>
      </c>
      <c r="F242" s="1" t="s">
        <v>458</v>
      </c>
      <c r="I242" t="s">
        <v>28</v>
      </c>
      <c r="J242" s="22">
        <v>0.63</v>
      </c>
      <c r="K242" s="22">
        <v>0.63</v>
      </c>
      <c r="L242" s="22">
        <v>0.63</v>
      </c>
      <c r="M242" s="22">
        <v>0.63</v>
      </c>
      <c r="N242" s="22">
        <v>0.63</v>
      </c>
      <c r="O242" s="22">
        <v>0.63</v>
      </c>
      <c r="P242" s="22">
        <v>0.63</v>
      </c>
      <c r="Q242" s="22">
        <v>0.63</v>
      </c>
      <c r="R242" s="22">
        <v>0.63</v>
      </c>
      <c r="S242" s="22">
        <v>0.63</v>
      </c>
      <c r="AJ242">
        <v>0</v>
      </c>
    </row>
    <row r="243" spans="1:36" x14ac:dyDescent="0.25">
      <c r="A243" t="s">
        <v>457</v>
      </c>
      <c r="B243" t="s">
        <v>24</v>
      </c>
      <c r="C243" t="s">
        <v>24</v>
      </c>
      <c r="D243" t="s">
        <v>453</v>
      </c>
      <c r="E243" t="s">
        <v>54</v>
      </c>
      <c r="F243" s="1" t="s">
        <v>458</v>
      </c>
      <c r="I243" t="s">
        <v>454</v>
      </c>
      <c r="J243" s="22">
        <v>0.37</v>
      </c>
      <c r="K243" s="22">
        <v>0.37</v>
      </c>
      <c r="L243" s="22">
        <v>0.37</v>
      </c>
      <c r="M243" s="22">
        <v>0.37</v>
      </c>
      <c r="N243" s="22">
        <v>0.37</v>
      </c>
      <c r="O243" s="22">
        <v>0.37</v>
      </c>
      <c r="P243" s="22">
        <v>0.37</v>
      </c>
      <c r="Q243" s="22">
        <v>0.37</v>
      </c>
      <c r="R243" s="22">
        <v>0.37</v>
      </c>
      <c r="S243" s="22">
        <v>0.37</v>
      </c>
      <c r="AJ243">
        <v>0</v>
      </c>
    </row>
    <row r="244" spans="1:36" x14ac:dyDescent="0.25">
      <c r="A244" t="s">
        <v>459</v>
      </c>
      <c r="B244" t="s">
        <v>24</v>
      </c>
      <c r="C244" t="s">
        <v>24</v>
      </c>
      <c r="D244" t="s">
        <v>25</v>
      </c>
      <c r="E244" t="s">
        <v>26</v>
      </c>
      <c r="F244" s="1" t="s">
        <v>460</v>
      </c>
      <c r="I244" t="s">
        <v>28</v>
      </c>
      <c r="J244" s="22">
        <v>0.59</v>
      </c>
      <c r="K244" s="22">
        <v>0.59</v>
      </c>
      <c r="L244" s="22">
        <v>0.59</v>
      </c>
      <c r="M244" s="22">
        <v>0.59</v>
      </c>
      <c r="N244" s="22">
        <v>0.59</v>
      </c>
      <c r="O244" s="22">
        <v>0.59</v>
      </c>
      <c r="P244" s="22">
        <v>0.59</v>
      </c>
      <c r="Q244" s="22">
        <v>0.59</v>
      </c>
      <c r="R244" s="22">
        <v>0.59</v>
      </c>
      <c r="S244" s="22">
        <v>0.59</v>
      </c>
      <c r="AJ244">
        <v>0</v>
      </c>
    </row>
    <row r="245" spans="1:36" x14ac:dyDescent="0.25">
      <c r="A245" t="s">
        <v>459</v>
      </c>
      <c r="B245" t="s">
        <v>24</v>
      </c>
      <c r="C245" t="s">
        <v>24</v>
      </c>
      <c r="D245" t="s">
        <v>453</v>
      </c>
      <c r="E245" t="s">
        <v>54</v>
      </c>
      <c r="F245" s="1" t="s">
        <v>460</v>
      </c>
      <c r="I245" t="s">
        <v>454</v>
      </c>
      <c r="J245" s="22">
        <v>0.41</v>
      </c>
      <c r="K245" s="22">
        <v>0.41</v>
      </c>
      <c r="L245" s="22">
        <v>0.41</v>
      </c>
      <c r="M245" s="22">
        <v>0.41</v>
      </c>
      <c r="N245" s="22">
        <v>0.41</v>
      </c>
      <c r="O245" s="22">
        <v>0.41</v>
      </c>
      <c r="P245" s="22">
        <v>0.41</v>
      </c>
      <c r="Q245" s="22">
        <v>0.41</v>
      </c>
      <c r="R245" s="22">
        <v>0.41</v>
      </c>
      <c r="S245" s="22">
        <v>0.41</v>
      </c>
      <c r="AJ245">
        <v>0</v>
      </c>
    </row>
    <row r="246" spans="1:36" x14ac:dyDescent="0.25">
      <c r="A246" t="s">
        <v>461</v>
      </c>
      <c r="B246" t="s">
        <v>24</v>
      </c>
      <c r="C246" t="s">
        <v>24</v>
      </c>
      <c r="D246" t="s">
        <v>25</v>
      </c>
      <c r="E246" t="s">
        <v>26</v>
      </c>
      <c r="F246" s="1" t="s">
        <v>462</v>
      </c>
      <c r="I246" t="s">
        <v>28</v>
      </c>
      <c r="J246" s="22">
        <v>0.75</v>
      </c>
      <c r="K246" s="22">
        <v>0.75</v>
      </c>
      <c r="L246" s="22">
        <v>0.75</v>
      </c>
      <c r="M246" s="22">
        <v>0.75</v>
      </c>
      <c r="N246" s="22">
        <v>0.75</v>
      </c>
      <c r="O246" s="22">
        <v>0.75</v>
      </c>
      <c r="P246" s="22">
        <v>0.75</v>
      </c>
      <c r="Q246" s="22">
        <v>0.75</v>
      </c>
      <c r="R246" s="22">
        <v>0.75</v>
      </c>
      <c r="S246" s="22">
        <v>0.75</v>
      </c>
      <c r="AJ246">
        <v>0</v>
      </c>
    </row>
    <row r="247" spans="1:36" x14ac:dyDescent="0.25">
      <c r="A247" t="s">
        <v>461</v>
      </c>
      <c r="B247" t="s">
        <v>24</v>
      </c>
      <c r="C247" t="s">
        <v>24</v>
      </c>
      <c r="D247" t="s">
        <v>453</v>
      </c>
      <c r="E247" t="s">
        <v>54</v>
      </c>
      <c r="F247" s="1" t="s">
        <v>462</v>
      </c>
      <c r="I247" t="s">
        <v>454</v>
      </c>
      <c r="J247" s="22">
        <v>0.25</v>
      </c>
      <c r="K247" s="22">
        <v>0.25</v>
      </c>
      <c r="L247" s="22">
        <v>0.25</v>
      </c>
      <c r="M247" s="22">
        <v>0.25</v>
      </c>
      <c r="N247" s="22">
        <v>0.25</v>
      </c>
      <c r="O247" s="22">
        <v>0.25</v>
      </c>
      <c r="P247" s="22">
        <v>0.25</v>
      </c>
      <c r="Q247" s="22">
        <v>0.25</v>
      </c>
      <c r="R247" s="22">
        <v>0.25</v>
      </c>
      <c r="S247" s="22">
        <v>0.25</v>
      </c>
      <c r="AJ247">
        <v>0</v>
      </c>
    </row>
    <row r="248" spans="1:36" x14ac:dyDescent="0.25">
      <c r="A248" t="s">
        <v>463</v>
      </c>
      <c r="B248" t="s">
        <v>24</v>
      </c>
      <c r="C248" t="s">
        <v>24</v>
      </c>
      <c r="D248" t="s">
        <v>25</v>
      </c>
      <c r="E248" t="s">
        <v>26</v>
      </c>
      <c r="F248" s="1" t="s">
        <v>464</v>
      </c>
      <c r="I248" t="s">
        <v>28</v>
      </c>
      <c r="J248" s="22">
        <v>0.51</v>
      </c>
      <c r="K248" s="22">
        <v>0.51</v>
      </c>
      <c r="L248" s="22">
        <v>0.51</v>
      </c>
      <c r="M248" s="22">
        <v>0.51</v>
      </c>
      <c r="N248" s="22">
        <v>0.51</v>
      </c>
      <c r="O248" s="22">
        <v>0.51</v>
      </c>
      <c r="P248" s="22">
        <v>0.51</v>
      </c>
      <c r="Q248" s="22">
        <v>0.51</v>
      </c>
      <c r="R248" s="22">
        <v>0.51</v>
      </c>
      <c r="S248" s="22">
        <v>0.51</v>
      </c>
      <c r="AJ248">
        <v>0</v>
      </c>
    </row>
    <row r="249" spans="1:36" x14ac:dyDescent="0.25">
      <c r="A249" t="s">
        <v>463</v>
      </c>
      <c r="B249" t="s">
        <v>24</v>
      </c>
      <c r="C249" t="s">
        <v>24</v>
      </c>
      <c r="D249" t="s">
        <v>453</v>
      </c>
      <c r="E249" t="s">
        <v>54</v>
      </c>
      <c r="F249" s="1" t="s">
        <v>464</v>
      </c>
      <c r="I249" t="s">
        <v>454</v>
      </c>
      <c r="J249" s="22">
        <v>0.49</v>
      </c>
      <c r="K249" s="22">
        <v>0.49</v>
      </c>
      <c r="L249" s="22">
        <v>0.49</v>
      </c>
      <c r="M249" s="22">
        <v>0.49</v>
      </c>
      <c r="N249" s="22">
        <v>0.49</v>
      </c>
      <c r="O249" s="22">
        <v>0.49</v>
      </c>
      <c r="P249" s="22">
        <v>0.49</v>
      </c>
      <c r="Q249" s="22">
        <v>0.49</v>
      </c>
      <c r="R249" s="22">
        <v>0.49</v>
      </c>
      <c r="S249" s="22">
        <v>0.49</v>
      </c>
      <c r="AJ249">
        <v>0</v>
      </c>
    </row>
    <row r="250" spans="1:36" x14ac:dyDescent="0.25">
      <c r="A250" t="s">
        <v>465</v>
      </c>
      <c r="B250" t="s">
        <v>24</v>
      </c>
      <c r="C250" t="s">
        <v>24</v>
      </c>
      <c r="D250" t="s">
        <v>25</v>
      </c>
      <c r="E250" t="s">
        <v>26</v>
      </c>
      <c r="F250" s="1" t="s">
        <v>466</v>
      </c>
      <c r="I250" t="s">
        <v>28</v>
      </c>
      <c r="J250" s="22">
        <v>1</v>
      </c>
      <c r="K250" s="22">
        <v>1</v>
      </c>
      <c r="L250" s="22">
        <v>1</v>
      </c>
      <c r="M250" s="22">
        <v>1</v>
      </c>
      <c r="N250" s="22">
        <v>1</v>
      </c>
      <c r="O250" s="22">
        <v>1</v>
      </c>
      <c r="P250" s="22">
        <v>1</v>
      </c>
      <c r="Q250" s="22">
        <v>1</v>
      </c>
      <c r="R250" s="22">
        <v>1</v>
      </c>
      <c r="S250" s="22">
        <v>1</v>
      </c>
      <c r="AJ250">
        <v>0</v>
      </c>
    </row>
    <row r="251" spans="1:36" x14ac:dyDescent="0.25">
      <c r="A251" t="s">
        <v>467</v>
      </c>
      <c r="B251" t="s">
        <v>24</v>
      </c>
      <c r="C251" t="s">
        <v>24</v>
      </c>
      <c r="D251" t="s">
        <v>25</v>
      </c>
      <c r="E251" t="s">
        <v>26</v>
      </c>
      <c r="F251" s="1" t="s">
        <v>468</v>
      </c>
      <c r="I251" t="s">
        <v>28</v>
      </c>
      <c r="J251" s="22">
        <v>1</v>
      </c>
      <c r="K251" s="22">
        <v>1</v>
      </c>
      <c r="L251" s="22">
        <v>1</v>
      </c>
      <c r="M251" s="22">
        <v>1</v>
      </c>
      <c r="N251" s="22">
        <v>1</v>
      </c>
      <c r="O251" s="22">
        <v>1</v>
      </c>
      <c r="P251" s="22">
        <v>1</v>
      </c>
      <c r="Q251" s="22">
        <v>1</v>
      </c>
      <c r="R251" s="22">
        <v>1</v>
      </c>
      <c r="S251" s="22">
        <v>1</v>
      </c>
      <c r="AJ251">
        <v>0</v>
      </c>
    </row>
    <row r="252" spans="1:36" x14ac:dyDescent="0.25">
      <c r="A252" t="s">
        <v>467</v>
      </c>
      <c r="B252" t="s">
        <v>24</v>
      </c>
      <c r="C252" t="s">
        <v>24</v>
      </c>
      <c r="D252" t="s">
        <v>469</v>
      </c>
      <c r="E252" t="s">
        <v>54</v>
      </c>
      <c r="F252" s="1" t="s">
        <v>468</v>
      </c>
      <c r="I252" t="s">
        <v>470</v>
      </c>
      <c r="J252" s="22">
        <v>0</v>
      </c>
      <c r="K252" s="22">
        <v>0</v>
      </c>
      <c r="L252" s="22">
        <v>0</v>
      </c>
      <c r="M252" s="22">
        <v>0</v>
      </c>
      <c r="N252" s="22">
        <v>0</v>
      </c>
      <c r="O252" s="22">
        <v>0</v>
      </c>
      <c r="P252" s="22">
        <v>0</v>
      </c>
      <c r="Q252" s="22">
        <v>0</v>
      </c>
      <c r="R252" s="22">
        <v>0</v>
      </c>
      <c r="S252" s="22">
        <v>0</v>
      </c>
      <c r="AJ252">
        <v>0</v>
      </c>
    </row>
    <row r="253" spans="1:36" x14ac:dyDescent="0.25">
      <c r="A253" t="s">
        <v>471</v>
      </c>
      <c r="B253" t="s">
        <v>24</v>
      </c>
      <c r="C253" t="s">
        <v>24</v>
      </c>
      <c r="D253" t="s">
        <v>25</v>
      </c>
      <c r="E253" t="s">
        <v>26</v>
      </c>
      <c r="F253" s="1" t="s">
        <v>472</v>
      </c>
      <c r="I253" t="s">
        <v>28</v>
      </c>
      <c r="J253" s="22">
        <v>1</v>
      </c>
      <c r="K253" s="22">
        <v>1</v>
      </c>
      <c r="L253" s="22">
        <v>1</v>
      </c>
      <c r="M253" s="22">
        <v>1</v>
      </c>
      <c r="N253" s="22">
        <v>1</v>
      </c>
      <c r="O253" s="22">
        <v>1</v>
      </c>
      <c r="P253" s="22">
        <v>1</v>
      </c>
      <c r="Q253" s="22">
        <v>1</v>
      </c>
      <c r="R253" s="22">
        <v>1</v>
      </c>
      <c r="S253" s="22">
        <v>1</v>
      </c>
      <c r="AJ253">
        <v>0</v>
      </c>
    </row>
    <row r="254" spans="1:36" x14ac:dyDescent="0.25">
      <c r="A254" t="s">
        <v>123</v>
      </c>
      <c r="B254" t="s">
        <v>473</v>
      </c>
      <c r="C254" t="s">
        <v>24</v>
      </c>
      <c r="D254" t="s">
        <v>474</v>
      </c>
      <c r="E254" t="s">
        <v>26</v>
      </c>
      <c r="F254" s="1" t="s">
        <v>475</v>
      </c>
      <c r="G254" t="s">
        <v>476</v>
      </c>
      <c r="I254" t="s">
        <v>477</v>
      </c>
      <c r="J254" s="22">
        <v>0</v>
      </c>
      <c r="K254" s="22">
        <v>0</v>
      </c>
      <c r="L254" s="22">
        <v>0</v>
      </c>
      <c r="M254" s="22">
        <v>0</v>
      </c>
      <c r="N254" s="22">
        <v>0</v>
      </c>
      <c r="O254" s="22">
        <v>0</v>
      </c>
      <c r="P254" s="22">
        <v>0.0019</v>
      </c>
      <c r="Q254" s="22">
        <v>0</v>
      </c>
      <c r="R254" s="22">
        <v>0</v>
      </c>
      <c r="S254" s="22">
        <v>0</v>
      </c>
      <c r="AJ254">
        <v>1</v>
      </c>
    </row>
    <row r="255" spans="1:36" x14ac:dyDescent="0.25">
      <c r="A255" t="s">
        <v>123</v>
      </c>
      <c r="B255" t="s">
        <v>473</v>
      </c>
      <c r="C255" t="s">
        <v>24</v>
      </c>
      <c r="D255" t="s">
        <v>478</v>
      </c>
      <c r="E255" t="s">
        <v>26</v>
      </c>
      <c r="F255" s="1" t="s">
        <v>475</v>
      </c>
      <c r="G255" t="s">
        <v>476</v>
      </c>
      <c r="I255" t="s">
        <v>479</v>
      </c>
      <c r="J255" s="22">
        <v>0</v>
      </c>
      <c r="K255" s="22">
        <v>0</v>
      </c>
      <c r="L255" s="22">
        <v>0</v>
      </c>
      <c r="M255" s="22">
        <v>0</v>
      </c>
      <c r="N255" s="22">
        <v>0</v>
      </c>
      <c r="O255" s="22">
        <v>0</v>
      </c>
      <c r="P255" s="22">
        <v>0.0023</v>
      </c>
      <c r="Q255" s="22">
        <v>0</v>
      </c>
      <c r="R255" s="22">
        <v>0</v>
      </c>
      <c r="S255" s="22">
        <v>0</v>
      </c>
      <c r="AJ255">
        <v>1</v>
      </c>
    </row>
    <row r="256" spans="1:36" x14ac:dyDescent="0.25">
      <c r="A256" t="s">
        <v>123</v>
      </c>
      <c r="B256" t="s">
        <v>473</v>
      </c>
      <c r="C256" t="s">
        <v>24</v>
      </c>
      <c r="D256" t="s">
        <v>480</v>
      </c>
      <c r="E256" t="s">
        <v>26</v>
      </c>
      <c r="F256" s="1" t="s">
        <v>475</v>
      </c>
      <c r="G256" t="s">
        <v>476</v>
      </c>
      <c r="I256" t="s">
        <v>481</v>
      </c>
      <c r="J256" s="22">
        <v>0</v>
      </c>
      <c r="K256" s="22">
        <v>0</v>
      </c>
      <c r="L256" s="22">
        <v>0</v>
      </c>
      <c r="M256" s="22">
        <v>0</v>
      </c>
      <c r="N256" s="22">
        <v>0</v>
      </c>
      <c r="O256" s="22">
        <v>0</v>
      </c>
      <c r="P256" s="22">
        <v>0.0035</v>
      </c>
      <c r="Q256" s="22">
        <v>0</v>
      </c>
      <c r="R256" s="22">
        <v>0</v>
      </c>
      <c r="S256" s="22">
        <v>0</v>
      </c>
      <c r="AJ256">
        <v>1</v>
      </c>
    </row>
    <row r="257" spans="1:36" x14ac:dyDescent="0.25">
      <c r="A257" t="s">
        <v>123</v>
      </c>
      <c r="B257" t="s">
        <v>482</v>
      </c>
      <c r="C257" t="s">
        <v>24</v>
      </c>
      <c r="D257" t="s">
        <v>32</v>
      </c>
      <c r="E257" t="s">
        <v>26</v>
      </c>
      <c r="F257" s="1" t="s">
        <v>475</v>
      </c>
      <c r="G257" t="s">
        <v>483</v>
      </c>
      <c r="I257" t="s">
        <v>34</v>
      </c>
      <c r="J257" s="22">
        <v>0</v>
      </c>
      <c r="K257" s="22">
        <v>0</v>
      </c>
      <c r="L257" s="22">
        <v>0</v>
      </c>
      <c r="M257" s="22">
        <v>0</v>
      </c>
      <c r="N257" s="22">
        <v>0</v>
      </c>
      <c r="O257" s="22">
        <v>0</v>
      </c>
      <c r="P257" s="22">
        <v>0.0313</v>
      </c>
      <c r="Q257" s="22">
        <v>0</v>
      </c>
      <c r="R257" s="22">
        <v>0</v>
      </c>
      <c r="S257" s="22">
        <v>0</v>
      </c>
      <c r="AJ257">
        <v>1</v>
      </c>
    </row>
    <row r="258" spans="1:36" x14ac:dyDescent="0.25">
      <c r="A258" t="s">
        <v>123</v>
      </c>
      <c r="B258" t="s">
        <v>482</v>
      </c>
      <c r="C258" t="s">
        <v>24</v>
      </c>
      <c r="D258" t="s">
        <v>484</v>
      </c>
      <c r="E258" t="s">
        <v>26</v>
      </c>
      <c r="F258" s="1" t="s">
        <v>475</v>
      </c>
      <c r="G258" t="s">
        <v>483</v>
      </c>
      <c r="I258" t="s">
        <v>485</v>
      </c>
      <c r="J258" s="22">
        <v>0</v>
      </c>
      <c r="K258" s="22">
        <v>0</v>
      </c>
      <c r="L258" s="22">
        <v>0</v>
      </c>
      <c r="M258" s="22">
        <v>0</v>
      </c>
      <c r="N258" s="22">
        <v>0</v>
      </c>
      <c r="O258" s="22">
        <v>0</v>
      </c>
      <c r="P258" s="22">
        <v>0.0015</v>
      </c>
      <c r="Q258" s="22">
        <v>0</v>
      </c>
      <c r="R258" s="22">
        <v>0</v>
      </c>
      <c r="S258" s="22">
        <v>0</v>
      </c>
      <c r="AJ258">
        <v>1</v>
      </c>
    </row>
    <row r="259" spans="1:36" x14ac:dyDescent="0.25">
      <c r="A259" t="s">
        <v>123</v>
      </c>
      <c r="B259" t="s">
        <v>486</v>
      </c>
      <c r="C259" t="s">
        <v>24</v>
      </c>
      <c r="D259" t="s">
        <v>32</v>
      </c>
      <c r="E259" t="s">
        <v>26</v>
      </c>
      <c r="F259" s="1" t="s">
        <v>475</v>
      </c>
      <c r="G259" t="s">
        <v>487</v>
      </c>
      <c r="I259" t="s">
        <v>34</v>
      </c>
      <c r="J259" s="22">
        <v>0</v>
      </c>
      <c r="K259" s="22">
        <v>0</v>
      </c>
      <c r="L259" s="22">
        <v>0</v>
      </c>
      <c r="M259" s="22">
        <v>0</v>
      </c>
      <c r="N259" s="22">
        <v>0</v>
      </c>
      <c r="O259" s="22">
        <v>0</v>
      </c>
      <c r="P259" s="22">
        <v>0.0139</v>
      </c>
      <c r="Q259" s="22">
        <v>0</v>
      </c>
      <c r="R259" s="22">
        <v>0</v>
      </c>
      <c r="S259" s="22">
        <v>0</v>
      </c>
      <c r="AJ259">
        <v>1</v>
      </c>
    </row>
    <row r="260" spans="1:36" x14ac:dyDescent="0.25">
      <c r="A260" t="s">
        <v>123</v>
      </c>
      <c r="B260" t="s">
        <v>488</v>
      </c>
      <c r="C260" t="s">
        <v>24</v>
      </c>
      <c r="D260" t="s">
        <v>489</v>
      </c>
      <c r="E260" t="s">
        <v>26</v>
      </c>
      <c r="F260" s="1" t="s">
        <v>475</v>
      </c>
      <c r="G260" t="s">
        <v>490</v>
      </c>
      <c r="I260" t="s">
        <v>491</v>
      </c>
      <c r="J260" s="22">
        <v>0</v>
      </c>
      <c r="K260" s="22">
        <v>0</v>
      </c>
      <c r="L260" s="22">
        <v>0</v>
      </c>
      <c r="M260" s="22">
        <v>0</v>
      </c>
      <c r="N260" s="22">
        <v>0</v>
      </c>
      <c r="O260" s="22">
        <v>0</v>
      </c>
      <c r="P260" s="22">
        <v>0.0016</v>
      </c>
      <c r="Q260" s="22">
        <v>0</v>
      </c>
      <c r="R260" s="22">
        <v>0</v>
      </c>
      <c r="S260" s="22">
        <v>0</v>
      </c>
      <c r="AJ260">
        <v>1</v>
      </c>
    </row>
    <row r="261" spans="1:36" x14ac:dyDescent="0.25">
      <c r="A261" t="s">
        <v>123</v>
      </c>
      <c r="B261" t="s">
        <v>492</v>
      </c>
      <c r="C261" t="s">
        <v>24</v>
      </c>
      <c r="D261" t="s">
        <v>32</v>
      </c>
      <c r="E261" t="s">
        <v>26</v>
      </c>
      <c r="F261" s="1" t="s">
        <v>475</v>
      </c>
      <c r="G261" t="s">
        <v>493</v>
      </c>
      <c r="I261" t="s">
        <v>34</v>
      </c>
      <c r="J261" s="22">
        <v>0</v>
      </c>
      <c r="K261" s="22">
        <v>0</v>
      </c>
      <c r="L261" s="22">
        <v>0</v>
      </c>
      <c r="M261" s="22">
        <v>0</v>
      </c>
      <c r="N261" s="22">
        <v>0</v>
      </c>
      <c r="O261" s="22">
        <v>0</v>
      </c>
      <c r="P261" s="22">
        <v>0.0338</v>
      </c>
      <c r="Q261" s="22">
        <v>0</v>
      </c>
      <c r="R261" s="22">
        <v>0</v>
      </c>
      <c r="S261" s="22">
        <v>0</v>
      </c>
      <c r="AJ261">
        <v>1</v>
      </c>
    </row>
    <row r="262" spans="1:36" x14ac:dyDescent="0.25">
      <c r="A262" t="s">
        <v>123</v>
      </c>
      <c r="B262" t="s">
        <v>494</v>
      </c>
      <c r="C262" t="s">
        <v>24</v>
      </c>
      <c r="D262" t="s">
        <v>495</v>
      </c>
      <c r="E262" t="s">
        <v>26</v>
      </c>
      <c r="F262" s="1" t="s">
        <v>475</v>
      </c>
      <c r="G262" t="s">
        <v>496</v>
      </c>
      <c r="I262" t="s">
        <v>497</v>
      </c>
      <c r="J262" s="22">
        <v>0</v>
      </c>
      <c r="K262" s="22">
        <v>0</v>
      </c>
      <c r="L262" s="22">
        <v>0</v>
      </c>
      <c r="M262" s="22">
        <v>0</v>
      </c>
      <c r="N262" s="22">
        <v>0</v>
      </c>
      <c r="O262" s="22">
        <v>0</v>
      </c>
      <c r="P262" s="22">
        <v>0.0212</v>
      </c>
      <c r="Q262" s="22">
        <v>0</v>
      </c>
      <c r="R262" s="22">
        <v>0</v>
      </c>
      <c r="S262" s="22">
        <v>0</v>
      </c>
      <c r="AJ262">
        <v>1</v>
      </c>
    </row>
    <row r="263" spans="1:36" x14ac:dyDescent="0.25">
      <c r="A263" t="s">
        <v>123</v>
      </c>
      <c r="B263" t="s">
        <v>494</v>
      </c>
      <c r="C263" t="s">
        <v>24</v>
      </c>
      <c r="D263" t="s">
        <v>32</v>
      </c>
      <c r="E263" t="s">
        <v>26</v>
      </c>
      <c r="F263" s="1" t="s">
        <v>475</v>
      </c>
      <c r="G263" t="s">
        <v>496</v>
      </c>
      <c r="I263" t="s">
        <v>34</v>
      </c>
      <c r="J263" s="22">
        <v>0</v>
      </c>
      <c r="K263" s="22">
        <v>0</v>
      </c>
      <c r="L263" s="22">
        <v>0</v>
      </c>
      <c r="M263" s="22">
        <v>0</v>
      </c>
      <c r="N263" s="22">
        <v>0</v>
      </c>
      <c r="O263" s="22">
        <v>0</v>
      </c>
      <c r="P263" s="22">
        <v>0.0201</v>
      </c>
      <c r="Q263" s="22">
        <v>0</v>
      </c>
      <c r="R263" s="22">
        <v>0</v>
      </c>
      <c r="S263" s="22">
        <v>0</v>
      </c>
      <c r="AJ263">
        <v>1</v>
      </c>
    </row>
    <row r="264" spans="1:36" x14ac:dyDescent="0.25">
      <c r="A264" t="s">
        <v>123</v>
      </c>
      <c r="B264" t="s">
        <v>494</v>
      </c>
      <c r="C264" t="s">
        <v>24</v>
      </c>
      <c r="D264" t="s">
        <v>498</v>
      </c>
      <c r="E264" t="s">
        <v>26</v>
      </c>
      <c r="F264" s="1" t="s">
        <v>475</v>
      </c>
      <c r="G264" t="s">
        <v>496</v>
      </c>
      <c r="I264" t="s">
        <v>499</v>
      </c>
      <c r="J264" s="22">
        <v>0</v>
      </c>
      <c r="K264" s="22">
        <v>0</v>
      </c>
      <c r="L264" s="22">
        <v>0</v>
      </c>
      <c r="M264" s="22">
        <v>0</v>
      </c>
      <c r="N264" s="22">
        <v>0</v>
      </c>
      <c r="O264" s="22">
        <v>0</v>
      </c>
      <c r="P264" s="22">
        <v>0.1409</v>
      </c>
      <c r="Q264" s="22">
        <v>0</v>
      </c>
      <c r="R264" s="22">
        <v>0</v>
      </c>
      <c r="S264" s="22">
        <v>0</v>
      </c>
      <c r="AJ264">
        <v>1</v>
      </c>
    </row>
    <row r="265" spans="1:36" x14ac:dyDescent="0.25">
      <c r="A265" t="s">
        <v>123</v>
      </c>
      <c r="B265" t="s">
        <v>494</v>
      </c>
      <c r="C265" t="s">
        <v>24</v>
      </c>
      <c r="D265" t="s">
        <v>480</v>
      </c>
      <c r="E265" t="s">
        <v>26</v>
      </c>
      <c r="F265" s="1" t="s">
        <v>475</v>
      </c>
      <c r="G265" t="s">
        <v>496</v>
      </c>
      <c r="I265" t="s">
        <v>481</v>
      </c>
      <c r="J265" s="22">
        <v>0</v>
      </c>
      <c r="K265" s="22">
        <v>0</v>
      </c>
      <c r="L265" s="22">
        <v>0</v>
      </c>
      <c r="M265" s="22">
        <v>0</v>
      </c>
      <c r="N265" s="22">
        <v>0</v>
      </c>
      <c r="O265" s="22">
        <v>0</v>
      </c>
      <c r="P265" s="22">
        <v>0.0027</v>
      </c>
      <c r="Q265" s="22">
        <v>0</v>
      </c>
      <c r="R265" s="22">
        <v>0</v>
      </c>
      <c r="S265" s="22">
        <v>0</v>
      </c>
      <c r="AJ265">
        <v>1</v>
      </c>
    </row>
    <row r="266" spans="1:36" x14ac:dyDescent="0.25">
      <c r="A266" t="s">
        <v>123</v>
      </c>
      <c r="B266" t="s">
        <v>500</v>
      </c>
      <c r="C266" t="s">
        <v>24</v>
      </c>
      <c r="D266" t="s">
        <v>32</v>
      </c>
      <c r="E266" t="s">
        <v>26</v>
      </c>
      <c r="F266" s="1" t="s">
        <v>475</v>
      </c>
      <c r="G266" t="s">
        <v>501</v>
      </c>
      <c r="I266" t="s">
        <v>34</v>
      </c>
      <c r="J266" s="22">
        <v>0</v>
      </c>
      <c r="K266" s="22">
        <v>0</v>
      </c>
      <c r="L266" s="22">
        <v>0</v>
      </c>
      <c r="M266" s="22">
        <v>0</v>
      </c>
      <c r="N266" s="22">
        <v>0</v>
      </c>
      <c r="O266" s="22">
        <v>0</v>
      </c>
      <c r="P266" s="22">
        <v>0.00034228728342841787</v>
      </c>
      <c r="Q266" s="22">
        <v>0</v>
      </c>
      <c r="R266" s="22">
        <v>0</v>
      </c>
      <c r="S266" s="22">
        <v>0</v>
      </c>
      <c r="AJ266">
        <v>1</v>
      </c>
    </row>
    <row r="267" spans="1:36" x14ac:dyDescent="0.25">
      <c r="A267" t="s">
        <v>123</v>
      </c>
      <c r="B267" t="s">
        <v>502</v>
      </c>
      <c r="C267" t="s">
        <v>24</v>
      </c>
      <c r="D267" t="s">
        <v>32</v>
      </c>
      <c r="E267" t="s">
        <v>26</v>
      </c>
      <c r="F267" s="1" t="s">
        <v>475</v>
      </c>
      <c r="G267" t="s">
        <v>503</v>
      </c>
      <c r="I267" t="s">
        <v>34</v>
      </c>
      <c r="J267" s="22">
        <v>0</v>
      </c>
      <c r="K267" s="22">
        <v>0</v>
      </c>
      <c r="L267" s="22">
        <v>0</v>
      </c>
      <c r="M267" s="22">
        <v>0</v>
      </c>
      <c r="N267" s="22">
        <v>0</v>
      </c>
      <c r="O267" s="22">
        <v>0</v>
      </c>
      <c r="P267" s="22">
        <v>0.2346</v>
      </c>
      <c r="Q267" s="22">
        <v>0</v>
      </c>
      <c r="R267" s="22">
        <v>0</v>
      </c>
      <c r="S267" s="22">
        <v>0</v>
      </c>
      <c r="AJ267">
        <v>1</v>
      </c>
    </row>
    <row r="268" spans="1:36" x14ac:dyDescent="0.25">
      <c r="A268" t="s">
        <v>123</v>
      </c>
      <c r="B268" t="s">
        <v>502</v>
      </c>
      <c r="C268" t="s">
        <v>24</v>
      </c>
      <c r="D268" t="s">
        <v>474</v>
      </c>
      <c r="E268" t="s">
        <v>26</v>
      </c>
      <c r="F268" s="1" t="s">
        <v>475</v>
      </c>
      <c r="G268" t="s">
        <v>503</v>
      </c>
      <c r="I268" t="s">
        <v>477</v>
      </c>
      <c r="J268" s="22">
        <v>0</v>
      </c>
      <c r="K268" s="22">
        <v>0</v>
      </c>
      <c r="L268" s="22">
        <v>0</v>
      </c>
      <c r="M268" s="22">
        <v>0</v>
      </c>
      <c r="N268" s="22">
        <v>0</v>
      </c>
      <c r="O268" s="22">
        <v>0</v>
      </c>
      <c r="P268" s="22">
        <v>0.0026</v>
      </c>
      <c r="Q268" s="22">
        <v>0</v>
      </c>
      <c r="R268" s="22">
        <v>0</v>
      </c>
      <c r="S268" s="22">
        <v>0</v>
      </c>
      <c r="AJ268">
        <v>1</v>
      </c>
    </row>
    <row r="269" spans="1:36" x14ac:dyDescent="0.25">
      <c r="A269" t="s">
        <v>123</v>
      </c>
      <c r="B269" t="s">
        <v>504</v>
      </c>
      <c r="C269" t="s">
        <v>24</v>
      </c>
      <c r="D269" t="s">
        <v>495</v>
      </c>
      <c r="E269" t="s">
        <v>26</v>
      </c>
      <c r="F269" s="1" t="s">
        <v>475</v>
      </c>
      <c r="G269" t="s">
        <v>505</v>
      </c>
      <c r="I269" t="s">
        <v>497</v>
      </c>
      <c r="J269" s="22">
        <v>0</v>
      </c>
      <c r="K269" s="22">
        <v>0</v>
      </c>
      <c r="L269" s="22">
        <v>0</v>
      </c>
      <c r="M269" s="22">
        <v>0</v>
      </c>
      <c r="N269" s="22">
        <v>0</v>
      </c>
      <c r="O269" s="22">
        <v>0</v>
      </c>
      <c r="P269" s="22">
        <v>0.0035</v>
      </c>
      <c r="Q269" s="22">
        <v>0</v>
      </c>
      <c r="R269" s="22">
        <v>0</v>
      </c>
      <c r="S269" s="22">
        <v>0</v>
      </c>
      <c r="AJ269">
        <v>1</v>
      </c>
    </row>
    <row r="270" spans="1:36" x14ac:dyDescent="0.25">
      <c r="A270" t="s">
        <v>123</v>
      </c>
      <c r="B270" t="s">
        <v>504</v>
      </c>
      <c r="C270" t="s">
        <v>24</v>
      </c>
      <c r="D270" t="s">
        <v>32</v>
      </c>
      <c r="E270" t="s">
        <v>26</v>
      </c>
      <c r="F270" s="1" t="s">
        <v>475</v>
      </c>
      <c r="G270" t="s">
        <v>505</v>
      </c>
      <c r="I270" t="s">
        <v>34</v>
      </c>
      <c r="J270" s="22">
        <v>0</v>
      </c>
      <c r="K270" s="22">
        <v>0</v>
      </c>
      <c r="L270" s="22">
        <v>0</v>
      </c>
      <c r="M270" s="22">
        <v>0</v>
      </c>
      <c r="N270" s="22">
        <v>0</v>
      </c>
      <c r="O270" s="22">
        <v>0</v>
      </c>
      <c r="P270" s="22">
        <v>0.0862</v>
      </c>
      <c r="Q270" s="22">
        <v>0</v>
      </c>
      <c r="R270" s="22">
        <v>0</v>
      </c>
      <c r="S270" s="22">
        <v>0</v>
      </c>
      <c r="AJ270">
        <v>1</v>
      </c>
    </row>
    <row r="271" spans="1:36" x14ac:dyDescent="0.25">
      <c r="A271" t="s">
        <v>123</v>
      </c>
      <c r="B271" t="s">
        <v>504</v>
      </c>
      <c r="C271" t="s">
        <v>24</v>
      </c>
      <c r="D271" t="s">
        <v>498</v>
      </c>
      <c r="E271" t="s">
        <v>26</v>
      </c>
      <c r="F271" s="1" t="s">
        <v>475</v>
      </c>
      <c r="G271" t="s">
        <v>505</v>
      </c>
      <c r="I271" t="s">
        <v>499</v>
      </c>
      <c r="J271" s="22">
        <v>0</v>
      </c>
      <c r="K271" s="22">
        <v>0</v>
      </c>
      <c r="L271" s="22">
        <v>0</v>
      </c>
      <c r="M271" s="22">
        <v>0</v>
      </c>
      <c r="N271" s="22">
        <v>0</v>
      </c>
      <c r="O271" s="22">
        <v>0</v>
      </c>
      <c r="P271" s="22">
        <v>0.0342</v>
      </c>
      <c r="Q271" s="22">
        <v>0</v>
      </c>
      <c r="R271" s="22">
        <v>0</v>
      </c>
      <c r="S271" s="22">
        <v>0</v>
      </c>
      <c r="AJ271">
        <v>1</v>
      </c>
    </row>
    <row r="272" spans="1:36" x14ac:dyDescent="0.25">
      <c r="A272" t="s">
        <v>123</v>
      </c>
      <c r="B272" t="s">
        <v>506</v>
      </c>
      <c r="C272" t="s">
        <v>24</v>
      </c>
      <c r="D272" t="s">
        <v>32</v>
      </c>
      <c r="E272" t="s">
        <v>26</v>
      </c>
      <c r="F272" s="1" t="s">
        <v>475</v>
      </c>
      <c r="G272" t="s">
        <v>507</v>
      </c>
      <c r="I272" t="s">
        <v>34</v>
      </c>
      <c r="J272" s="22">
        <v>0</v>
      </c>
      <c r="K272" s="22">
        <v>0</v>
      </c>
      <c r="L272" s="22">
        <v>0</v>
      </c>
      <c r="M272" s="22">
        <v>0</v>
      </c>
      <c r="N272" s="22">
        <v>0</v>
      </c>
      <c r="O272" s="22">
        <v>0</v>
      </c>
      <c r="P272" s="22">
        <v>0.0392</v>
      </c>
      <c r="Q272" s="22">
        <v>0</v>
      </c>
      <c r="R272" s="22">
        <v>0</v>
      </c>
      <c r="S272" s="22">
        <v>0</v>
      </c>
      <c r="AJ272">
        <v>1</v>
      </c>
    </row>
    <row r="273" spans="1:36" x14ac:dyDescent="0.25">
      <c r="A273" t="s">
        <v>123</v>
      </c>
      <c r="B273" t="s">
        <v>508</v>
      </c>
      <c r="C273" t="s">
        <v>24</v>
      </c>
      <c r="D273" t="s">
        <v>32</v>
      </c>
      <c r="E273" t="s">
        <v>26</v>
      </c>
      <c r="F273" s="1" t="s">
        <v>475</v>
      </c>
      <c r="G273" t="s">
        <v>509</v>
      </c>
      <c r="I273" t="s">
        <v>34</v>
      </c>
      <c r="J273" s="22">
        <v>0</v>
      </c>
      <c r="K273" s="22">
        <v>0</v>
      </c>
      <c r="L273" s="22">
        <v>0</v>
      </c>
      <c r="M273" s="22">
        <v>0</v>
      </c>
      <c r="N273" s="22">
        <v>0</v>
      </c>
      <c r="O273" s="22">
        <v>0</v>
      </c>
      <c r="P273" s="22">
        <v>0.0244</v>
      </c>
      <c r="Q273" s="22">
        <v>0</v>
      </c>
      <c r="R273" s="22">
        <v>0</v>
      </c>
      <c r="S273" s="22">
        <v>0</v>
      </c>
      <c r="AJ273">
        <v>1</v>
      </c>
    </row>
    <row r="274" spans="1:36" x14ac:dyDescent="0.25">
      <c r="A274" t="s">
        <v>123</v>
      </c>
      <c r="B274" t="s">
        <v>510</v>
      </c>
      <c r="C274" t="s">
        <v>24</v>
      </c>
      <c r="D274" t="s">
        <v>32</v>
      </c>
      <c r="E274" t="s">
        <v>26</v>
      </c>
      <c r="F274" s="1" t="s">
        <v>475</v>
      </c>
      <c r="G274" t="s">
        <v>511</v>
      </c>
      <c r="I274" t="s">
        <v>34</v>
      </c>
      <c r="J274" s="22">
        <v>0</v>
      </c>
      <c r="K274" s="22">
        <v>0</v>
      </c>
      <c r="L274" s="22">
        <v>0</v>
      </c>
      <c r="M274" s="22">
        <v>0</v>
      </c>
      <c r="N274" s="22">
        <v>0</v>
      </c>
      <c r="O274" s="22">
        <v>0</v>
      </c>
      <c r="P274" s="22">
        <v>0.0242</v>
      </c>
      <c r="Q274" s="22">
        <v>0</v>
      </c>
      <c r="R274" s="22">
        <v>0</v>
      </c>
      <c r="S274" s="22">
        <v>0</v>
      </c>
      <c r="AJ274">
        <v>1</v>
      </c>
    </row>
    <row r="275" spans="1:36" x14ac:dyDescent="0.25">
      <c r="A275" t="s">
        <v>123</v>
      </c>
      <c r="B275" t="s">
        <v>512</v>
      </c>
      <c r="C275" t="s">
        <v>24</v>
      </c>
      <c r="D275" t="s">
        <v>32</v>
      </c>
      <c r="E275" t="s">
        <v>26</v>
      </c>
      <c r="F275" s="1" t="s">
        <v>475</v>
      </c>
      <c r="G275" t="s">
        <v>513</v>
      </c>
      <c r="I275" t="s">
        <v>34</v>
      </c>
      <c r="J275" s="22">
        <v>0.92</v>
      </c>
      <c r="K275" s="22">
        <v>0.92</v>
      </c>
      <c r="L275" s="22">
        <v>0.92</v>
      </c>
      <c r="M275" s="22">
        <v>0.92</v>
      </c>
      <c r="N275" s="22">
        <v>0.92</v>
      </c>
      <c r="O275" s="22">
        <v>0.92</v>
      </c>
      <c r="P275" s="22">
        <v>0</v>
      </c>
      <c r="Q275" s="22">
        <v>0.92</v>
      </c>
      <c r="R275" s="22">
        <v>0.92</v>
      </c>
      <c r="S275" s="22">
        <v>0.92</v>
      </c>
      <c r="AJ275">
        <v>1</v>
      </c>
    </row>
    <row r="276" spans="1:36" x14ac:dyDescent="0.25">
      <c r="A276" t="s">
        <v>123</v>
      </c>
      <c r="B276" t="s">
        <v>512</v>
      </c>
      <c r="C276" t="s">
        <v>24</v>
      </c>
      <c r="D276" t="s">
        <v>484</v>
      </c>
      <c r="E276" t="s">
        <v>26</v>
      </c>
      <c r="F276" s="1" t="s">
        <v>475</v>
      </c>
      <c r="G276" t="s">
        <v>513</v>
      </c>
      <c r="I276" t="s">
        <v>485</v>
      </c>
      <c r="J276" s="22">
        <v>0.08</v>
      </c>
      <c r="K276" s="22">
        <v>0.08</v>
      </c>
      <c r="L276" s="22">
        <v>0.08</v>
      </c>
      <c r="M276" s="22">
        <v>0.08</v>
      </c>
      <c r="N276" s="22">
        <v>0.08</v>
      </c>
      <c r="O276" s="22">
        <v>0.08</v>
      </c>
      <c r="P276" s="22">
        <v>0</v>
      </c>
      <c r="Q276" s="22">
        <v>0.08</v>
      </c>
      <c r="R276" s="22">
        <v>0.08</v>
      </c>
      <c r="S276" s="22">
        <v>0.08</v>
      </c>
      <c r="AJ276">
        <v>1</v>
      </c>
    </row>
    <row r="277" spans="1:36" x14ac:dyDescent="0.25">
      <c r="A277" t="s">
        <v>123</v>
      </c>
      <c r="B277" t="s">
        <v>514</v>
      </c>
      <c r="C277" t="s">
        <v>24</v>
      </c>
      <c r="D277" t="s">
        <v>484</v>
      </c>
      <c r="E277" t="s">
        <v>26</v>
      </c>
      <c r="F277" s="1" t="s">
        <v>475</v>
      </c>
      <c r="G277" t="s">
        <v>515</v>
      </c>
      <c r="I277" t="s">
        <v>485</v>
      </c>
      <c r="J277" s="22">
        <v>0</v>
      </c>
      <c r="K277" s="22">
        <v>0</v>
      </c>
      <c r="L277" s="22">
        <v>0</v>
      </c>
      <c r="M277" s="22">
        <v>0</v>
      </c>
      <c r="N277" s="22">
        <v>0</v>
      </c>
      <c r="O277" s="22">
        <v>0</v>
      </c>
      <c r="P277" s="22">
        <v>0.0066</v>
      </c>
      <c r="Q277" s="22">
        <v>0</v>
      </c>
      <c r="R277" s="22">
        <v>0</v>
      </c>
      <c r="S277" s="22">
        <v>0</v>
      </c>
      <c r="AJ277">
        <v>1</v>
      </c>
    </row>
    <row r="278" spans="1:36" x14ac:dyDescent="0.25">
      <c r="A278" t="s">
        <v>123</v>
      </c>
      <c r="B278" t="s">
        <v>516</v>
      </c>
      <c r="C278" t="s">
        <v>24</v>
      </c>
      <c r="D278" t="s">
        <v>498</v>
      </c>
      <c r="E278" t="s">
        <v>26</v>
      </c>
      <c r="F278" s="1" t="s">
        <v>475</v>
      </c>
      <c r="G278" t="s">
        <v>517</v>
      </c>
      <c r="I278" t="s">
        <v>499</v>
      </c>
      <c r="J278" s="22">
        <v>0</v>
      </c>
      <c r="K278" s="22">
        <v>0</v>
      </c>
      <c r="L278" s="22">
        <v>0</v>
      </c>
      <c r="M278" s="22">
        <v>0</v>
      </c>
      <c r="N278" s="22">
        <v>0</v>
      </c>
      <c r="O278" s="22">
        <v>0</v>
      </c>
      <c r="P278" s="22">
        <v>0.0222</v>
      </c>
      <c r="Q278" s="22">
        <v>0</v>
      </c>
      <c r="R278" s="22">
        <v>0</v>
      </c>
      <c r="S278" s="22">
        <v>0</v>
      </c>
      <c r="AJ278">
        <v>1</v>
      </c>
    </row>
    <row r="279" spans="1:36" x14ac:dyDescent="0.25">
      <c r="A279" t="s">
        <v>123</v>
      </c>
      <c r="B279" t="s">
        <v>518</v>
      </c>
      <c r="C279" t="s">
        <v>24</v>
      </c>
      <c r="D279" t="s">
        <v>519</v>
      </c>
      <c r="E279" t="s">
        <v>26</v>
      </c>
      <c r="F279" s="1" t="s">
        <v>475</v>
      </c>
      <c r="G279" t="s">
        <v>520</v>
      </c>
      <c r="I279" t="s">
        <v>521</v>
      </c>
      <c r="J279" s="22">
        <v>0</v>
      </c>
      <c r="K279" s="22">
        <v>0</v>
      </c>
      <c r="L279" s="22">
        <v>0</v>
      </c>
      <c r="M279" s="22">
        <v>0</v>
      </c>
      <c r="N279" s="22">
        <v>0</v>
      </c>
      <c r="O279" s="22">
        <v>0</v>
      </c>
      <c r="P279" s="22">
        <v>0.2372</v>
      </c>
      <c r="Q279" s="22">
        <v>0</v>
      </c>
      <c r="R279" s="22">
        <v>0</v>
      </c>
      <c r="S279" s="22">
        <v>0</v>
      </c>
      <c r="AJ279">
        <v>1</v>
      </c>
    </row>
    <row r="280" spans="1:36" x14ac:dyDescent="0.25">
      <c r="A280" t="s">
        <v>123</v>
      </c>
      <c r="B280" t="s">
        <v>522</v>
      </c>
      <c r="C280" t="s">
        <v>24</v>
      </c>
      <c r="D280" t="s">
        <v>484</v>
      </c>
      <c r="E280" t="s">
        <v>26</v>
      </c>
      <c r="F280" s="1" t="s">
        <v>475</v>
      </c>
      <c r="G280" t="s">
        <v>523</v>
      </c>
      <c r="I280" t="s">
        <v>485</v>
      </c>
      <c r="J280" s="22">
        <v>0</v>
      </c>
      <c r="K280" s="22">
        <v>0</v>
      </c>
      <c r="L280" s="22">
        <v>0</v>
      </c>
      <c r="M280" s="22">
        <v>0</v>
      </c>
      <c r="N280" s="22">
        <v>0</v>
      </c>
      <c r="O280" s="22">
        <v>0</v>
      </c>
      <c r="P280" s="22">
        <v>0.0036</v>
      </c>
      <c r="Q280" s="22">
        <v>0</v>
      </c>
      <c r="R280" s="22">
        <v>0</v>
      </c>
      <c r="S280" s="22">
        <v>0</v>
      </c>
      <c r="AJ280">
        <v>1</v>
      </c>
    </row>
    <row r="281" spans="1:36" x14ac:dyDescent="0.25">
      <c r="A281" t="s">
        <v>123</v>
      </c>
      <c r="B281" t="s">
        <v>524</v>
      </c>
      <c r="C281" t="s">
        <v>24</v>
      </c>
      <c r="D281" t="s">
        <v>32</v>
      </c>
      <c r="E281" t="s">
        <v>26</v>
      </c>
      <c r="F281" s="1" t="s">
        <v>475</v>
      </c>
      <c r="G281" t="s">
        <v>525</v>
      </c>
      <c r="I281" t="s">
        <v>34</v>
      </c>
      <c r="J281" s="22">
        <v>0</v>
      </c>
      <c r="K281" s="22">
        <v>0</v>
      </c>
      <c r="L281" s="22">
        <v>0</v>
      </c>
      <c r="M281" s="22">
        <v>0</v>
      </c>
      <c r="N281" s="22">
        <v>0</v>
      </c>
      <c r="O281" s="22">
        <v>0</v>
      </c>
      <c r="P281" s="22">
        <v>0.0065</v>
      </c>
      <c r="Q281" s="22">
        <v>0</v>
      </c>
      <c r="R281" s="22">
        <v>0</v>
      </c>
      <c r="S281" s="22">
        <v>0</v>
      </c>
      <c r="AJ281">
        <v>1</v>
      </c>
    </row>
    <row r="282" spans="1:36" x14ac:dyDescent="0.25">
      <c r="A282" t="s">
        <v>526</v>
      </c>
      <c r="B282" t="s">
        <v>376</v>
      </c>
      <c r="C282" t="s">
        <v>24</v>
      </c>
      <c r="D282" t="s">
        <v>32</v>
      </c>
      <c r="E282" t="s">
        <v>26</v>
      </c>
      <c r="F282" s="1" t="s">
        <v>527</v>
      </c>
      <c r="G282" t="s">
        <v>528</v>
      </c>
      <c r="I282" t="s">
        <v>34</v>
      </c>
      <c r="J282" s="22">
        <v>1</v>
      </c>
      <c r="K282" s="22">
        <v>1</v>
      </c>
      <c r="L282" s="22">
        <v>1</v>
      </c>
      <c r="M282" s="22">
        <v>1</v>
      </c>
      <c r="N282" s="22">
        <v>1</v>
      </c>
      <c r="O282" s="22">
        <v>1</v>
      </c>
      <c r="P282" s="22">
        <v>1</v>
      </c>
      <c r="Q282" s="22">
        <v>1</v>
      </c>
      <c r="R282" s="22">
        <v>1</v>
      </c>
      <c r="S282" s="22">
        <v>1</v>
      </c>
      <c r="AJ282">
        <v>1</v>
      </c>
    </row>
    <row r="283" spans="1:36" x14ac:dyDescent="0.25">
      <c r="A283" t="s">
        <v>86</v>
      </c>
      <c r="B283" t="s">
        <v>376</v>
      </c>
      <c r="C283" t="s">
        <v>24</v>
      </c>
      <c r="D283" t="s">
        <v>529</v>
      </c>
      <c r="E283" t="s">
        <v>26</v>
      </c>
      <c r="F283" s="1" t="s">
        <v>530</v>
      </c>
      <c r="G283" t="s">
        <v>528</v>
      </c>
      <c r="I283" t="s">
        <v>531</v>
      </c>
      <c r="J283" s="22">
        <v>1</v>
      </c>
      <c r="K283" s="22">
        <v>1</v>
      </c>
      <c r="L283" s="22">
        <v>1</v>
      </c>
      <c r="M283" s="22">
        <v>1</v>
      </c>
      <c r="N283" s="22">
        <v>1</v>
      </c>
      <c r="O283" s="22">
        <v>1</v>
      </c>
      <c r="P283" s="22">
        <v>1</v>
      </c>
      <c r="Q283" s="22">
        <v>1</v>
      </c>
      <c r="R283" s="22">
        <v>1</v>
      </c>
      <c r="S283" s="22">
        <v>1</v>
      </c>
      <c r="AJ283">
        <v>1</v>
      </c>
    </row>
    <row r="284" spans="1:36" x14ac:dyDescent="0.25">
      <c r="A284" t="s">
        <v>532</v>
      </c>
      <c r="B284" t="s">
        <v>24</v>
      </c>
      <c r="C284" t="s">
        <v>24</v>
      </c>
      <c r="D284" t="s">
        <v>32</v>
      </c>
      <c r="E284" t="s">
        <v>26</v>
      </c>
      <c r="F284" s="1" t="s">
        <v>533</v>
      </c>
      <c r="I284" t="s">
        <v>34</v>
      </c>
      <c r="J284" s="22">
        <v>1</v>
      </c>
      <c r="K284" s="22">
        <v>1</v>
      </c>
      <c r="L284" s="22">
        <v>1</v>
      </c>
      <c r="M284" s="22">
        <v>1</v>
      </c>
      <c r="N284" s="22">
        <v>1</v>
      </c>
      <c r="O284" s="22">
        <v>1</v>
      </c>
      <c r="P284" s="22">
        <v>1</v>
      </c>
      <c r="Q284" s="22">
        <v>1</v>
      </c>
      <c r="R284" s="22">
        <v>1</v>
      </c>
      <c r="S284" s="22">
        <v>1</v>
      </c>
      <c r="AJ284">
        <v>1</v>
      </c>
    </row>
    <row r="285" spans="1:36" x14ac:dyDescent="0.25">
      <c r="A285" t="s">
        <v>534</v>
      </c>
      <c r="B285" t="s">
        <v>376</v>
      </c>
      <c r="C285" t="s">
        <v>24</v>
      </c>
      <c r="D285" t="s">
        <v>535</v>
      </c>
      <c r="E285" t="s">
        <v>26</v>
      </c>
      <c r="F285" s="1" t="s">
        <v>536</v>
      </c>
      <c r="G285" t="s">
        <v>528</v>
      </c>
      <c r="I285" t="s">
        <v>537</v>
      </c>
      <c r="J285" s="22">
        <v>1</v>
      </c>
      <c r="K285" s="22">
        <v>1</v>
      </c>
      <c r="L285" s="22">
        <v>1</v>
      </c>
      <c r="M285" s="22">
        <v>1</v>
      </c>
      <c r="N285" s="22">
        <v>1</v>
      </c>
      <c r="O285" s="22">
        <v>1</v>
      </c>
      <c r="P285" s="22">
        <v>1</v>
      </c>
      <c r="Q285" s="22">
        <v>1</v>
      </c>
      <c r="R285" s="22">
        <v>1</v>
      </c>
      <c r="S285" s="22">
        <v>1</v>
      </c>
      <c r="AJ285">
        <v>1</v>
      </c>
    </row>
    <row r="286" spans="1:36" x14ac:dyDescent="0.25">
      <c r="A286" t="s">
        <v>534</v>
      </c>
      <c r="B286" t="s">
        <v>376</v>
      </c>
      <c r="C286" t="s">
        <v>24</v>
      </c>
      <c r="D286" t="s">
        <v>32</v>
      </c>
      <c r="E286" t="s">
        <v>26</v>
      </c>
      <c r="F286" s="1" t="s">
        <v>536</v>
      </c>
      <c r="G286" t="s">
        <v>528</v>
      </c>
      <c r="I286" t="s">
        <v>34</v>
      </c>
      <c r="J286" s="22">
        <v>0</v>
      </c>
      <c r="K286" s="22">
        <v>0</v>
      </c>
      <c r="L286" s="22">
        <v>0</v>
      </c>
      <c r="M286" s="22">
        <v>0</v>
      </c>
      <c r="N286" s="22">
        <v>0</v>
      </c>
      <c r="O286" s="22">
        <v>0</v>
      </c>
      <c r="P286" s="22">
        <v>0</v>
      </c>
      <c r="Q286" s="22">
        <v>0</v>
      </c>
      <c r="R286" s="22">
        <v>0</v>
      </c>
      <c r="S286" s="22">
        <v>0</v>
      </c>
      <c r="AJ286">
        <v>0</v>
      </c>
    </row>
    <row r="287" spans="1:36" x14ac:dyDescent="0.25">
      <c r="A287" t="s">
        <v>538</v>
      </c>
      <c r="B287" t="s">
        <v>24</v>
      </c>
      <c r="C287" t="s">
        <v>24</v>
      </c>
      <c r="D287" t="s">
        <v>25</v>
      </c>
      <c r="E287" t="s">
        <v>26</v>
      </c>
      <c r="F287" s="1" t="s">
        <v>539</v>
      </c>
      <c r="I287" t="s">
        <v>28</v>
      </c>
      <c r="J287" s="22">
        <v>0.5</v>
      </c>
      <c r="K287" s="22">
        <v>0.5</v>
      </c>
      <c r="L287" s="22">
        <v>0.5</v>
      </c>
      <c r="M287" s="22">
        <v>0.5</v>
      </c>
      <c r="N287" s="22">
        <v>0.5</v>
      </c>
      <c r="O287" s="22">
        <v>0.5</v>
      </c>
      <c r="P287" s="22">
        <v>0.5</v>
      </c>
      <c r="Q287" s="22">
        <v>0.5</v>
      </c>
      <c r="R287" s="22">
        <v>0.5</v>
      </c>
      <c r="S287" s="22">
        <v>1</v>
      </c>
      <c r="AJ287">
        <v>0</v>
      </c>
    </row>
    <row r="288" spans="1:36" x14ac:dyDescent="0.25">
      <c r="A288" t="s">
        <v>538</v>
      </c>
      <c r="B288" t="s">
        <v>24</v>
      </c>
      <c r="C288" t="s">
        <v>24</v>
      </c>
      <c r="D288" t="s">
        <v>25</v>
      </c>
      <c r="E288" t="s">
        <v>139</v>
      </c>
      <c r="F288" s="1" t="s">
        <v>539</v>
      </c>
      <c r="I288" t="s">
        <v>140</v>
      </c>
      <c r="J288" s="22">
        <v>0.5</v>
      </c>
      <c r="K288" s="22">
        <v>0.5</v>
      </c>
      <c r="L288" s="22">
        <v>0.5</v>
      </c>
      <c r="M288" s="22">
        <v>0.5</v>
      </c>
      <c r="N288" s="22">
        <v>0.5</v>
      </c>
      <c r="O288" s="22">
        <v>0.5</v>
      </c>
      <c r="P288" s="22">
        <v>0.5</v>
      </c>
      <c r="Q288" s="22">
        <v>0.5</v>
      </c>
      <c r="R288" s="22">
        <v>0.5</v>
      </c>
      <c r="S288" s="22">
        <v>0</v>
      </c>
      <c r="AJ288">
        <v>0</v>
      </c>
    </row>
    <row r="289" spans="1:36" x14ac:dyDescent="0.25">
      <c r="A289" t="s">
        <v>540</v>
      </c>
      <c r="B289" t="s">
        <v>24</v>
      </c>
      <c r="C289" t="s">
        <v>24</v>
      </c>
      <c r="D289" t="s">
        <v>25</v>
      </c>
      <c r="E289" t="s">
        <v>26</v>
      </c>
      <c r="F289" s="1" t="s">
        <v>541</v>
      </c>
      <c r="I289" t="s">
        <v>28</v>
      </c>
      <c r="J289" s="22">
        <v>0.113</v>
      </c>
      <c r="K289" s="22">
        <v>0.273</v>
      </c>
      <c r="L289" s="22">
        <v>0.113</v>
      </c>
      <c r="M289" s="22">
        <v>0.113</v>
      </c>
      <c r="N289" s="22">
        <v>0.113</v>
      </c>
      <c r="O289" s="22">
        <v>0.113</v>
      </c>
      <c r="P289" s="22">
        <v>0.113</v>
      </c>
      <c r="Q289" s="22">
        <v>0.113</v>
      </c>
      <c r="R289" s="22">
        <v>0.113</v>
      </c>
      <c r="S289" s="22">
        <v>0.113</v>
      </c>
      <c r="AJ289">
        <v>0</v>
      </c>
    </row>
    <row r="290" spans="1:36" x14ac:dyDescent="0.25">
      <c r="A290" t="s">
        <v>540</v>
      </c>
      <c r="B290" t="s">
        <v>24</v>
      </c>
      <c r="C290" t="s">
        <v>24</v>
      </c>
      <c r="D290" t="s">
        <v>542</v>
      </c>
      <c r="E290" t="s">
        <v>26</v>
      </c>
      <c r="F290" s="1" t="s">
        <v>541</v>
      </c>
      <c r="I290" t="s">
        <v>543</v>
      </c>
      <c r="J290" s="22">
        <v>0.006</v>
      </c>
      <c r="K290" s="22">
        <v>0.015</v>
      </c>
      <c r="L290" s="22">
        <v>0.006</v>
      </c>
      <c r="M290" s="22">
        <v>0.006</v>
      </c>
      <c r="N290" s="22">
        <v>0.006</v>
      </c>
      <c r="O290" s="22">
        <v>0.006</v>
      </c>
      <c r="P290" s="22">
        <v>0.006</v>
      </c>
      <c r="Q290" s="22">
        <v>0.006</v>
      </c>
      <c r="R290" s="22">
        <v>0.006</v>
      </c>
      <c r="S290" s="22">
        <v>0.006</v>
      </c>
      <c r="AJ290">
        <v>0</v>
      </c>
    </row>
    <row r="291" spans="1:36" x14ac:dyDescent="0.25">
      <c r="A291" t="s">
        <v>540</v>
      </c>
      <c r="B291" t="s">
        <v>24</v>
      </c>
      <c r="C291" t="s">
        <v>24</v>
      </c>
      <c r="D291" t="s">
        <v>544</v>
      </c>
      <c r="E291" t="s">
        <v>26</v>
      </c>
      <c r="F291" s="1" t="s">
        <v>541</v>
      </c>
      <c r="I291" t="s">
        <v>545</v>
      </c>
      <c r="J291" s="22">
        <v>0.005</v>
      </c>
      <c r="K291" s="22">
        <v>0</v>
      </c>
      <c r="L291" s="22">
        <v>0.005</v>
      </c>
      <c r="M291" s="22">
        <v>0.005</v>
      </c>
      <c r="N291" s="22">
        <v>0.005</v>
      </c>
      <c r="O291" s="22">
        <v>0.005</v>
      </c>
      <c r="P291" s="22">
        <v>0.005</v>
      </c>
      <c r="Q291" s="22">
        <v>0.005</v>
      </c>
      <c r="R291" s="22">
        <v>0.005</v>
      </c>
      <c r="S291" s="22">
        <v>0.005</v>
      </c>
      <c r="AJ291">
        <v>0</v>
      </c>
    </row>
    <row r="292" spans="1:36" x14ac:dyDescent="0.25">
      <c r="A292" t="s">
        <v>540</v>
      </c>
      <c r="B292" t="s">
        <v>24</v>
      </c>
      <c r="C292" t="s">
        <v>24</v>
      </c>
      <c r="D292" t="s">
        <v>546</v>
      </c>
      <c r="E292" t="s">
        <v>26</v>
      </c>
      <c r="F292" s="1" t="s">
        <v>541</v>
      </c>
      <c r="I292" t="s">
        <v>547</v>
      </c>
      <c r="J292" s="22">
        <v>0.03</v>
      </c>
      <c r="K292" s="22">
        <v>0.009</v>
      </c>
      <c r="L292" s="22">
        <v>0.03</v>
      </c>
      <c r="M292" s="22">
        <v>0.03</v>
      </c>
      <c r="N292" s="22">
        <v>0.03</v>
      </c>
      <c r="O292" s="22">
        <v>0.03</v>
      </c>
      <c r="P292" s="22">
        <v>0.03</v>
      </c>
      <c r="Q292" s="22">
        <v>0.03</v>
      </c>
      <c r="R292" s="22">
        <v>0.03</v>
      </c>
      <c r="S292" s="22">
        <v>0.03</v>
      </c>
      <c r="AJ292">
        <v>0</v>
      </c>
    </row>
    <row r="293" spans="1:36" x14ac:dyDescent="0.25">
      <c r="A293" t="s">
        <v>540</v>
      </c>
      <c r="B293" t="s">
        <v>24</v>
      </c>
      <c r="C293" t="s">
        <v>24</v>
      </c>
      <c r="D293" t="s">
        <v>548</v>
      </c>
      <c r="E293" t="s">
        <v>26</v>
      </c>
      <c r="F293" s="1" t="s">
        <v>541</v>
      </c>
      <c r="I293" t="s">
        <v>549</v>
      </c>
      <c r="J293" s="22">
        <v>0.12</v>
      </c>
      <c r="K293" s="22">
        <v>0.103</v>
      </c>
      <c r="L293" s="22">
        <v>0.12</v>
      </c>
      <c r="M293" s="22">
        <v>0.12</v>
      </c>
      <c r="N293" s="22">
        <v>0.12</v>
      </c>
      <c r="O293" s="22">
        <v>0.12</v>
      </c>
      <c r="P293" s="22">
        <v>0.12</v>
      </c>
      <c r="Q293" s="22">
        <v>0.12</v>
      </c>
      <c r="R293" s="22">
        <v>0.12</v>
      </c>
      <c r="S293" s="22">
        <v>0.12</v>
      </c>
      <c r="AJ293">
        <v>0</v>
      </c>
    </row>
    <row r="294" spans="1:36" x14ac:dyDescent="0.25">
      <c r="A294" t="s">
        <v>540</v>
      </c>
      <c r="B294" t="s">
        <v>24</v>
      </c>
      <c r="C294" t="s">
        <v>24</v>
      </c>
      <c r="D294" t="s">
        <v>550</v>
      </c>
      <c r="E294" t="s">
        <v>26</v>
      </c>
      <c r="F294" s="1" t="s">
        <v>541</v>
      </c>
      <c r="I294" t="s">
        <v>551</v>
      </c>
      <c r="J294" s="22">
        <v>0.01</v>
      </c>
      <c r="K294" s="22">
        <v>0.014</v>
      </c>
      <c r="L294" s="22">
        <v>0.01</v>
      </c>
      <c r="M294" s="22">
        <v>0.01</v>
      </c>
      <c r="N294" s="22">
        <v>0.01</v>
      </c>
      <c r="O294" s="22">
        <v>0.01</v>
      </c>
      <c r="P294" s="22">
        <v>0.01</v>
      </c>
      <c r="Q294" s="22">
        <v>0.01</v>
      </c>
      <c r="R294" s="22">
        <v>0.01</v>
      </c>
      <c r="S294" s="22">
        <v>0.01</v>
      </c>
      <c r="AJ294">
        <v>0</v>
      </c>
    </row>
    <row r="295" spans="1:36" x14ac:dyDescent="0.25">
      <c r="A295" t="s">
        <v>540</v>
      </c>
      <c r="B295" t="s">
        <v>24</v>
      </c>
      <c r="C295" t="s">
        <v>24</v>
      </c>
      <c r="D295" t="s">
        <v>552</v>
      </c>
      <c r="E295" t="s">
        <v>26</v>
      </c>
      <c r="F295" s="1" t="s">
        <v>541</v>
      </c>
      <c r="I295" t="s">
        <v>553</v>
      </c>
      <c r="J295" s="22">
        <v>0.005</v>
      </c>
      <c r="K295" s="22">
        <v>0</v>
      </c>
      <c r="L295" s="22">
        <v>0.005</v>
      </c>
      <c r="M295" s="22">
        <v>0.005</v>
      </c>
      <c r="N295" s="22">
        <v>0.005</v>
      </c>
      <c r="O295" s="22">
        <v>0.005</v>
      </c>
      <c r="P295" s="22">
        <v>0.005</v>
      </c>
      <c r="Q295" s="22">
        <v>0.005</v>
      </c>
      <c r="R295" s="22">
        <v>0.005</v>
      </c>
      <c r="S295" s="22">
        <v>0.005</v>
      </c>
      <c r="AJ295">
        <v>0</v>
      </c>
    </row>
    <row r="296" spans="1:36" x14ac:dyDescent="0.25">
      <c r="A296" t="s">
        <v>540</v>
      </c>
      <c r="B296" t="s">
        <v>24</v>
      </c>
      <c r="C296" t="s">
        <v>24</v>
      </c>
      <c r="D296" t="s">
        <v>554</v>
      </c>
      <c r="E296" t="s">
        <v>26</v>
      </c>
      <c r="F296" s="1" t="s">
        <v>541</v>
      </c>
      <c r="I296" t="s">
        <v>555</v>
      </c>
      <c r="J296" s="22">
        <v>0.017</v>
      </c>
      <c r="K296" s="22">
        <v>0.007</v>
      </c>
      <c r="L296" s="22">
        <v>0.017</v>
      </c>
      <c r="M296" s="22">
        <v>0.017</v>
      </c>
      <c r="N296" s="22">
        <v>0.017</v>
      </c>
      <c r="O296" s="22">
        <v>0.017</v>
      </c>
      <c r="P296" s="22">
        <v>0.017</v>
      </c>
      <c r="Q296" s="22">
        <v>0.017</v>
      </c>
      <c r="R296" s="22">
        <v>0.017</v>
      </c>
      <c r="S296" s="22">
        <v>0.017</v>
      </c>
      <c r="AJ296">
        <v>0</v>
      </c>
    </row>
    <row r="297" spans="1:36" x14ac:dyDescent="0.25">
      <c r="A297" t="s">
        <v>540</v>
      </c>
      <c r="B297" t="s">
        <v>24</v>
      </c>
      <c r="C297" t="s">
        <v>24</v>
      </c>
      <c r="D297" t="s">
        <v>556</v>
      </c>
      <c r="E297" t="s">
        <v>26</v>
      </c>
      <c r="F297" s="1" t="s">
        <v>541</v>
      </c>
      <c r="I297" t="s">
        <v>557</v>
      </c>
      <c r="J297" s="22">
        <v>0.049</v>
      </c>
      <c r="K297" s="22">
        <v>0.084</v>
      </c>
      <c r="L297" s="22">
        <v>0.049</v>
      </c>
      <c r="M297" s="22">
        <v>0.049</v>
      </c>
      <c r="N297" s="22">
        <v>0.049</v>
      </c>
      <c r="O297" s="22">
        <v>0.049</v>
      </c>
      <c r="P297" s="22">
        <v>0.049</v>
      </c>
      <c r="Q297" s="22">
        <v>0.049</v>
      </c>
      <c r="R297" s="22">
        <v>0.049</v>
      </c>
      <c r="S297" s="22">
        <v>0.049</v>
      </c>
      <c r="AJ297">
        <v>0</v>
      </c>
    </row>
    <row r="298" spans="1:36" x14ac:dyDescent="0.25">
      <c r="A298" t="s">
        <v>540</v>
      </c>
      <c r="B298" t="s">
        <v>24</v>
      </c>
      <c r="C298" t="s">
        <v>24</v>
      </c>
      <c r="D298" t="s">
        <v>558</v>
      </c>
      <c r="E298" t="s">
        <v>26</v>
      </c>
      <c r="F298" s="1" t="s">
        <v>541</v>
      </c>
      <c r="I298" t="s">
        <v>559</v>
      </c>
      <c r="J298" s="22">
        <v>0.01</v>
      </c>
      <c r="K298" s="22">
        <v>0.011</v>
      </c>
      <c r="L298" s="22">
        <v>0.01</v>
      </c>
      <c r="M298" s="22">
        <v>0.01</v>
      </c>
      <c r="N298" s="22">
        <v>0.01</v>
      </c>
      <c r="O298" s="22">
        <v>0.01</v>
      </c>
      <c r="P298" s="22">
        <v>0.01</v>
      </c>
      <c r="Q298" s="22">
        <v>0.01</v>
      </c>
      <c r="R298" s="22">
        <v>0.01</v>
      </c>
      <c r="S298" s="22">
        <v>0.01</v>
      </c>
      <c r="AJ298">
        <v>0</v>
      </c>
    </row>
    <row r="299" spans="1:36" x14ac:dyDescent="0.25">
      <c r="A299" t="s">
        <v>540</v>
      </c>
      <c r="B299" t="s">
        <v>24</v>
      </c>
      <c r="C299" t="s">
        <v>24</v>
      </c>
      <c r="D299" t="s">
        <v>560</v>
      </c>
      <c r="E299" t="s">
        <v>26</v>
      </c>
      <c r="F299" s="1" t="s">
        <v>541</v>
      </c>
      <c r="I299" t="s">
        <v>561</v>
      </c>
      <c r="J299" s="22">
        <v>0.016</v>
      </c>
      <c r="K299" s="22">
        <v>0.007</v>
      </c>
      <c r="L299" s="22">
        <v>0.016</v>
      </c>
      <c r="M299" s="22">
        <v>0.016</v>
      </c>
      <c r="N299" s="22">
        <v>0.016</v>
      </c>
      <c r="O299" s="22">
        <v>0.016</v>
      </c>
      <c r="P299" s="22">
        <v>0.016</v>
      </c>
      <c r="Q299" s="22">
        <v>0.016</v>
      </c>
      <c r="R299" s="22">
        <v>0.016</v>
      </c>
      <c r="S299" s="22">
        <v>0.016</v>
      </c>
      <c r="AJ299">
        <v>0</v>
      </c>
    </row>
    <row r="300" spans="1:36" x14ac:dyDescent="0.25">
      <c r="A300" t="s">
        <v>540</v>
      </c>
      <c r="B300" t="s">
        <v>24</v>
      </c>
      <c r="C300" t="s">
        <v>24</v>
      </c>
      <c r="D300" t="s">
        <v>562</v>
      </c>
      <c r="E300" t="s">
        <v>26</v>
      </c>
      <c r="F300" s="1" t="s">
        <v>541</v>
      </c>
      <c r="I300" t="s">
        <v>563</v>
      </c>
      <c r="J300" s="22">
        <v>0.011</v>
      </c>
      <c r="K300" s="22">
        <v>0.011</v>
      </c>
      <c r="L300" s="22">
        <v>0.011</v>
      </c>
      <c r="M300" s="22">
        <v>0.011</v>
      </c>
      <c r="N300" s="22">
        <v>0.011</v>
      </c>
      <c r="O300" s="22">
        <v>0.011</v>
      </c>
      <c r="P300" s="22">
        <v>0.011</v>
      </c>
      <c r="Q300" s="22">
        <v>0.011</v>
      </c>
      <c r="R300" s="22">
        <v>0.011</v>
      </c>
      <c r="S300" s="22">
        <v>0.011</v>
      </c>
      <c r="AJ300">
        <v>0</v>
      </c>
    </row>
    <row r="301" spans="1:36" x14ac:dyDescent="0.25">
      <c r="A301" t="s">
        <v>540</v>
      </c>
      <c r="B301" t="s">
        <v>24</v>
      </c>
      <c r="C301" t="s">
        <v>24</v>
      </c>
      <c r="D301" t="s">
        <v>373</v>
      </c>
      <c r="E301" t="s">
        <v>26</v>
      </c>
      <c r="F301" s="1" t="s">
        <v>541</v>
      </c>
      <c r="I301" t="s">
        <v>564</v>
      </c>
      <c r="J301" s="22">
        <v>0.495</v>
      </c>
      <c r="K301" s="22">
        <v>0.377</v>
      </c>
      <c r="L301" s="22">
        <v>0.495</v>
      </c>
      <c r="M301" s="22">
        <v>0.495</v>
      </c>
      <c r="N301" s="22">
        <v>0.495</v>
      </c>
      <c r="O301" s="22">
        <v>0.495</v>
      </c>
      <c r="P301" s="22">
        <v>0.495</v>
      </c>
      <c r="Q301" s="22">
        <v>0.495</v>
      </c>
      <c r="R301" s="22">
        <v>0.495</v>
      </c>
      <c r="S301" s="22">
        <v>0.495</v>
      </c>
      <c r="AJ301">
        <v>0</v>
      </c>
    </row>
    <row r="302" spans="1:36" x14ac:dyDescent="0.25">
      <c r="A302" t="s">
        <v>540</v>
      </c>
      <c r="B302" t="s">
        <v>24</v>
      </c>
      <c r="C302" t="s">
        <v>24</v>
      </c>
      <c r="D302" t="s">
        <v>565</v>
      </c>
      <c r="E302" t="s">
        <v>26</v>
      </c>
      <c r="F302" s="1" t="s">
        <v>541</v>
      </c>
      <c r="I302" t="s">
        <v>566</v>
      </c>
      <c r="J302" s="22">
        <v>0.009</v>
      </c>
      <c r="K302" s="22">
        <v>0.006</v>
      </c>
      <c r="L302" s="22">
        <v>0.009</v>
      </c>
      <c r="M302" s="22">
        <v>0.009</v>
      </c>
      <c r="N302" s="22">
        <v>0.009</v>
      </c>
      <c r="O302" s="22">
        <v>0.009</v>
      </c>
      <c r="P302" s="22">
        <v>0.009</v>
      </c>
      <c r="Q302" s="22">
        <v>0.009</v>
      </c>
      <c r="R302" s="22">
        <v>0.009</v>
      </c>
      <c r="S302" s="22">
        <v>0.009</v>
      </c>
      <c r="AJ302">
        <v>0</v>
      </c>
    </row>
    <row r="303" spans="1:36" x14ac:dyDescent="0.25">
      <c r="A303" t="s">
        <v>540</v>
      </c>
      <c r="B303" t="s">
        <v>24</v>
      </c>
      <c r="C303" t="s">
        <v>24</v>
      </c>
      <c r="D303" t="s">
        <v>567</v>
      </c>
      <c r="E303" t="s">
        <v>26</v>
      </c>
      <c r="F303" s="1" t="s">
        <v>541</v>
      </c>
      <c r="I303" t="s">
        <v>568</v>
      </c>
      <c r="J303" s="22">
        <v>0.066</v>
      </c>
      <c r="K303" s="22">
        <v>0.05</v>
      </c>
      <c r="L303" s="22">
        <v>0.066</v>
      </c>
      <c r="M303" s="22">
        <v>0.066</v>
      </c>
      <c r="N303" s="22">
        <v>0.066</v>
      </c>
      <c r="O303" s="22">
        <v>0.066</v>
      </c>
      <c r="P303" s="22">
        <v>0.066</v>
      </c>
      <c r="Q303" s="22">
        <v>0.066</v>
      </c>
      <c r="R303" s="22">
        <v>0.066</v>
      </c>
      <c r="S303" s="22">
        <v>0.066</v>
      </c>
      <c r="AJ303">
        <v>0</v>
      </c>
    </row>
    <row r="304" spans="1:36" x14ac:dyDescent="0.25">
      <c r="A304" t="s">
        <v>540</v>
      </c>
      <c r="B304" t="s">
        <v>24</v>
      </c>
      <c r="C304" t="s">
        <v>24</v>
      </c>
      <c r="D304" t="s">
        <v>92</v>
      </c>
      <c r="E304" t="s">
        <v>26</v>
      </c>
      <c r="F304" s="1" t="s">
        <v>541</v>
      </c>
      <c r="I304" t="s">
        <v>569</v>
      </c>
      <c r="J304" s="22">
        <v>0.017</v>
      </c>
      <c r="K304" s="22">
        <v>0.013</v>
      </c>
      <c r="L304" s="22">
        <v>0.017</v>
      </c>
      <c r="M304" s="22">
        <v>0.017</v>
      </c>
      <c r="N304" s="22">
        <v>0.017</v>
      </c>
      <c r="O304" s="22">
        <v>0.017</v>
      </c>
      <c r="P304" s="22">
        <v>0.017</v>
      </c>
      <c r="Q304" s="22">
        <v>0.017</v>
      </c>
      <c r="R304" s="22">
        <v>0.017</v>
      </c>
      <c r="S304" s="22">
        <v>0.017</v>
      </c>
      <c r="AJ304">
        <v>0</v>
      </c>
    </row>
    <row r="305" spans="1:36" x14ac:dyDescent="0.25">
      <c r="A305" t="s">
        <v>540</v>
      </c>
      <c r="B305" t="s">
        <v>24</v>
      </c>
      <c r="C305" t="s">
        <v>24</v>
      </c>
      <c r="D305" t="s">
        <v>570</v>
      </c>
      <c r="E305" t="s">
        <v>26</v>
      </c>
      <c r="F305" s="1" t="s">
        <v>541</v>
      </c>
      <c r="I305" t="s">
        <v>571</v>
      </c>
      <c r="J305" s="22">
        <v>0.008</v>
      </c>
      <c r="K305" s="22">
        <v>0.007</v>
      </c>
      <c r="L305" s="22">
        <v>0.008</v>
      </c>
      <c r="M305" s="22">
        <v>0.008</v>
      </c>
      <c r="N305" s="22">
        <v>0.008</v>
      </c>
      <c r="O305" s="22">
        <v>0.008</v>
      </c>
      <c r="P305" s="22">
        <v>0.008</v>
      </c>
      <c r="Q305" s="22">
        <v>0.008</v>
      </c>
      <c r="R305" s="22">
        <v>0.008</v>
      </c>
      <c r="S305" s="22">
        <v>0.008</v>
      </c>
      <c r="AJ305">
        <v>0</v>
      </c>
    </row>
    <row r="306" spans="1:36" x14ac:dyDescent="0.25">
      <c r="A306" t="s">
        <v>540</v>
      </c>
      <c r="B306" t="s">
        <v>24</v>
      </c>
      <c r="C306" t="s">
        <v>24</v>
      </c>
      <c r="D306" t="s">
        <v>572</v>
      </c>
      <c r="E306" t="s">
        <v>26</v>
      </c>
      <c r="F306" s="1" t="s">
        <v>541</v>
      </c>
      <c r="I306" t="s">
        <v>573</v>
      </c>
      <c r="J306" s="22">
        <v>0.013</v>
      </c>
      <c r="K306" s="22">
        <v>0.013</v>
      </c>
      <c r="L306" s="22">
        <v>0.013</v>
      </c>
      <c r="M306" s="22">
        <v>0.013</v>
      </c>
      <c r="N306" s="22">
        <v>0.013</v>
      </c>
      <c r="O306" s="22">
        <v>0.013</v>
      </c>
      <c r="P306" s="22">
        <v>0.013</v>
      </c>
      <c r="Q306" s="22">
        <v>0.013</v>
      </c>
      <c r="R306" s="22">
        <v>0.013</v>
      </c>
      <c r="S306" s="22">
        <v>0.013</v>
      </c>
      <c r="AJ306">
        <v>0</v>
      </c>
    </row>
    <row r="307" spans="1:36" x14ac:dyDescent="0.25">
      <c r="A307" t="s">
        <v>70</v>
      </c>
      <c r="B307" t="s">
        <v>24</v>
      </c>
      <c r="C307" t="s">
        <v>24</v>
      </c>
      <c r="D307" t="s">
        <v>25</v>
      </c>
      <c r="E307" t="s">
        <v>143</v>
      </c>
      <c r="F307" s="1" t="s">
        <v>574</v>
      </c>
      <c r="I307" t="s">
        <v>575</v>
      </c>
      <c r="J307" s="22">
        <v>0</v>
      </c>
      <c r="K307" s="22">
        <v>0</v>
      </c>
      <c r="L307" s="22">
        <v>0</v>
      </c>
      <c r="M307" s="22">
        <v>0.064</v>
      </c>
      <c r="N307" s="22">
        <v>0.064</v>
      </c>
      <c r="O307" s="22">
        <v>0</v>
      </c>
      <c r="P307" s="22">
        <v>0</v>
      </c>
      <c r="Q307" s="22">
        <v>0</v>
      </c>
      <c r="R307" s="22">
        <v>0.064</v>
      </c>
      <c r="S307" s="22">
        <v>0</v>
      </c>
      <c r="AJ307">
        <v>0</v>
      </c>
    </row>
    <row r="308" spans="1:36" x14ac:dyDescent="0.25">
      <c r="A308" t="s">
        <v>70</v>
      </c>
      <c r="B308" t="s">
        <v>24</v>
      </c>
      <c r="C308" t="s">
        <v>24</v>
      </c>
      <c r="D308" t="s">
        <v>576</v>
      </c>
      <c r="E308" t="s">
        <v>26</v>
      </c>
      <c r="F308" s="1" t="s">
        <v>574</v>
      </c>
      <c r="I308" t="s">
        <v>577</v>
      </c>
      <c r="J308" s="22">
        <v>0.06</v>
      </c>
      <c r="K308" s="22">
        <v>0.06</v>
      </c>
      <c r="L308" s="22">
        <v>0.06</v>
      </c>
      <c r="M308" s="22">
        <v>0.054</v>
      </c>
      <c r="N308" s="22">
        <v>0.054</v>
      </c>
      <c r="O308" s="22">
        <v>0</v>
      </c>
      <c r="P308" s="22">
        <v>0.06</v>
      </c>
      <c r="Q308" s="22">
        <v>0.06</v>
      </c>
      <c r="R308" s="22">
        <v>0.054</v>
      </c>
      <c r="S308" s="22">
        <v>0.06</v>
      </c>
      <c r="AJ308">
        <v>0</v>
      </c>
    </row>
    <row r="309" spans="1:36" x14ac:dyDescent="0.25">
      <c r="A309" t="s">
        <v>70</v>
      </c>
      <c r="B309" t="s">
        <v>24</v>
      </c>
      <c r="C309" t="s">
        <v>24</v>
      </c>
      <c r="D309" t="s">
        <v>578</v>
      </c>
      <c r="E309" t="s">
        <v>26</v>
      </c>
      <c r="F309" s="1" t="s">
        <v>574</v>
      </c>
      <c r="I309" t="s">
        <v>579</v>
      </c>
      <c r="J309" s="22">
        <v>0.74</v>
      </c>
      <c r="K309" s="22">
        <v>0.74</v>
      </c>
      <c r="L309" s="22">
        <v>0.74</v>
      </c>
      <c r="M309" s="22">
        <v>0.685</v>
      </c>
      <c r="N309" s="22">
        <v>0.685</v>
      </c>
      <c r="O309" s="22">
        <v>1</v>
      </c>
      <c r="P309" s="22">
        <v>0.74</v>
      </c>
      <c r="Q309" s="22">
        <v>0.74</v>
      </c>
      <c r="R309" s="22">
        <v>0.685</v>
      </c>
      <c r="S309" s="22">
        <v>0.74</v>
      </c>
      <c r="AJ309">
        <v>0</v>
      </c>
    </row>
    <row r="310" spans="1:36" x14ac:dyDescent="0.25">
      <c r="A310" t="s">
        <v>70</v>
      </c>
      <c r="B310" t="s">
        <v>24</v>
      </c>
      <c r="C310" t="s">
        <v>24</v>
      </c>
      <c r="D310" t="s">
        <v>580</v>
      </c>
      <c r="E310" t="s">
        <v>54</v>
      </c>
      <c r="F310" s="1" t="s">
        <v>574</v>
      </c>
      <c r="I310" t="s">
        <v>581</v>
      </c>
      <c r="J310" s="22">
        <v>0.2</v>
      </c>
      <c r="K310" s="22">
        <v>0.2</v>
      </c>
      <c r="L310" s="22">
        <v>0.2</v>
      </c>
      <c r="M310" s="22">
        <v>0.197</v>
      </c>
      <c r="N310" s="22">
        <v>0.197</v>
      </c>
      <c r="O310" s="22">
        <v>0</v>
      </c>
      <c r="P310" s="22">
        <v>0.2</v>
      </c>
      <c r="Q310" s="22">
        <v>0.2</v>
      </c>
      <c r="R310" s="22">
        <v>0.197</v>
      </c>
      <c r="S310" s="22">
        <v>0.2</v>
      </c>
      <c r="AJ310">
        <v>0</v>
      </c>
    </row>
    <row r="311" spans="1:36" x14ac:dyDescent="0.25">
      <c r="A311" t="s">
        <v>420</v>
      </c>
      <c r="B311" t="s">
        <v>24</v>
      </c>
      <c r="C311" t="s">
        <v>24</v>
      </c>
      <c r="D311" t="s">
        <v>25</v>
      </c>
      <c r="E311" t="s">
        <v>26</v>
      </c>
      <c r="F311" s="1" t="s">
        <v>582</v>
      </c>
      <c r="I311" t="s">
        <v>28</v>
      </c>
      <c r="J311" s="22">
        <v>1</v>
      </c>
      <c r="K311" s="22">
        <v>1</v>
      </c>
      <c r="L311" s="22">
        <v>1</v>
      </c>
      <c r="M311" s="22">
        <v>1</v>
      </c>
      <c r="N311" s="22">
        <v>1</v>
      </c>
      <c r="O311" s="22">
        <v>1</v>
      </c>
      <c r="P311" s="22">
        <v>1</v>
      </c>
      <c r="Q311" s="22">
        <v>1</v>
      </c>
      <c r="R311" s="22">
        <v>1</v>
      </c>
      <c r="S311" s="22">
        <v>1</v>
      </c>
      <c r="AJ311">
        <v>0</v>
      </c>
    </row>
    <row r="312" spans="1:36" x14ac:dyDescent="0.25">
      <c r="A312" t="s">
        <v>583</v>
      </c>
      <c r="B312" t="s">
        <v>24</v>
      </c>
      <c r="C312" t="s">
        <v>24</v>
      </c>
      <c r="D312" t="s">
        <v>25</v>
      </c>
      <c r="E312" t="s">
        <v>26</v>
      </c>
      <c r="F312" s="1" t="s">
        <v>584</v>
      </c>
      <c r="I312" t="s">
        <v>28</v>
      </c>
      <c r="J312" s="22">
        <v>0.35</v>
      </c>
      <c r="K312" s="22">
        <v>0.35</v>
      </c>
      <c r="L312" s="22">
        <v>0.35</v>
      </c>
      <c r="M312" s="22">
        <v>0.35</v>
      </c>
      <c r="N312" s="22">
        <v>0.35</v>
      </c>
      <c r="O312" s="22">
        <v>0.35</v>
      </c>
      <c r="P312" s="22">
        <v>0.35</v>
      </c>
      <c r="Q312" s="22">
        <v>0.35</v>
      </c>
      <c r="R312" s="22">
        <v>0.35</v>
      </c>
      <c r="S312" s="22">
        <v>0.35</v>
      </c>
      <c r="AJ312">
        <v>0</v>
      </c>
    </row>
    <row r="313" spans="1:36" x14ac:dyDescent="0.25">
      <c r="A313" t="s">
        <v>583</v>
      </c>
      <c r="B313" t="s">
        <v>24</v>
      </c>
      <c r="C313" t="s">
        <v>24</v>
      </c>
      <c r="D313" t="s">
        <v>585</v>
      </c>
      <c r="E313" t="s">
        <v>26</v>
      </c>
      <c r="F313" s="1" t="s">
        <v>584</v>
      </c>
      <c r="I313" t="s">
        <v>586</v>
      </c>
      <c r="J313" s="22">
        <v>0.65</v>
      </c>
      <c r="K313" s="22">
        <v>0.65</v>
      </c>
      <c r="L313" s="22">
        <v>0.65</v>
      </c>
      <c r="M313" s="22">
        <v>0.65</v>
      </c>
      <c r="N313" s="22">
        <v>0.65</v>
      </c>
      <c r="O313" s="22">
        <v>0.65</v>
      </c>
      <c r="P313" s="22">
        <v>0.65</v>
      </c>
      <c r="Q313" s="22">
        <v>0.65</v>
      </c>
      <c r="R313" s="22">
        <v>0.65</v>
      </c>
      <c r="S313" s="22">
        <v>0.65</v>
      </c>
      <c r="AJ313">
        <v>0</v>
      </c>
    </row>
    <row r="314" spans="1:36" x14ac:dyDescent="0.25">
      <c r="A314" t="s">
        <v>587</v>
      </c>
      <c r="B314" t="s">
        <v>24</v>
      </c>
      <c r="C314" t="s">
        <v>24</v>
      </c>
      <c r="D314" t="s">
        <v>25</v>
      </c>
      <c r="E314" t="s">
        <v>26</v>
      </c>
      <c r="F314" s="1" t="s">
        <v>588</v>
      </c>
      <c r="I314" t="s">
        <v>28</v>
      </c>
      <c r="J314" s="22">
        <v>0.5</v>
      </c>
      <c r="K314" s="22">
        <v>0.5</v>
      </c>
      <c r="L314" s="22">
        <v>0.5</v>
      </c>
      <c r="M314" s="22">
        <v>0.5</v>
      </c>
      <c r="N314" s="22">
        <v>0.5</v>
      </c>
      <c r="O314" s="22">
        <v>0.5</v>
      </c>
      <c r="P314" s="22">
        <v>0.5</v>
      </c>
      <c r="Q314" s="22">
        <v>0.5</v>
      </c>
      <c r="R314" s="22">
        <v>0.5</v>
      </c>
      <c r="S314" s="22">
        <v>0.5</v>
      </c>
      <c r="AJ314">
        <v>0</v>
      </c>
    </row>
    <row r="315" spans="1:36" x14ac:dyDescent="0.25">
      <c r="A315" t="s">
        <v>587</v>
      </c>
      <c r="B315" t="s">
        <v>24</v>
      </c>
      <c r="C315" t="s">
        <v>24</v>
      </c>
      <c r="D315" t="s">
        <v>589</v>
      </c>
      <c r="E315" t="s">
        <v>26</v>
      </c>
      <c r="F315" s="1" t="s">
        <v>588</v>
      </c>
      <c r="I315" t="s">
        <v>590</v>
      </c>
      <c r="J315" s="22">
        <v>0.5</v>
      </c>
      <c r="K315" s="22">
        <v>0.5</v>
      </c>
      <c r="L315" s="22">
        <v>0.5</v>
      </c>
      <c r="M315" s="22">
        <v>0.5</v>
      </c>
      <c r="N315" s="22">
        <v>0.5</v>
      </c>
      <c r="O315" s="22">
        <v>0.5</v>
      </c>
      <c r="P315" s="22">
        <v>0.5</v>
      </c>
      <c r="Q315" s="22">
        <v>0.5</v>
      </c>
      <c r="R315" s="22">
        <v>0.5</v>
      </c>
      <c r="S315" s="22">
        <v>0.5</v>
      </c>
      <c r="AJ315">
        <v>0</v>
      </c>
    </row>
    <row r="316" spans="1:36" x14ac:dyDescent="0.25">
      <c r="A316" t="s">
        <v>187</v>
      </c>
      <c r="B316" t="s">
        <v>24</v>
      </c>
      <c r="C316" t="s">
        <v>24</v>
      </c>
      <c r="D316" t="s">
        <v>25</v>
      </c>
      <c r="E316" t="s">
        <v>26</v>
      </c>
      <c r="F316" s="1" t="s">
        <v>591</v>
      </c>
      <c r="I316" t="s">
        <v>28</v>
      </c>
      <c r="J316" s="22">
        <v>1</v>
      </c>
      <c r="K316" s="22">
        <v>1</v>
      </c>
      <c r="L316" s="22">
        <v>1</v>
      </c>
      <c r="M316" s="22">
        <v>1</v>
      </c>
      <c r="N316" s="22">
        <v>1</v>
      </c>
      <c r="O316" s="22">
        <v>1</v>
      </c>
      <c r="P316" s="22">
        <v>1</v>
      </c>
      <c r="Q316" s="22">
        <v>1</v>
      </c>
      <c r="R316" s="22">
        <v>1</v>
      </c>
      <c r="S316" s="22">
        <v>1</v>
      </c>
      <c r="AJ316">
        <v>0</v>
      </c>
    </row>
    <row r="317" spans="1:36" x14ac:dyDescent="0.25">
      <c r="A317" t="s">
        <v>592</v>
      </c>
      <c r="B317" t="s">
        <v>24</v>
      </c>
      <c r="C317" t="s">
        <v>24</v>
      </c>
      <c r="D317" t="s">
        <v>25</v>
      </c>
      <c r="E317" t="s">
        <v>26</v>
      </c>
      <c r="F317" s="1" t="s">
        <v>593</v>
      </c>
      <c r="I317" t="s">
        <v>28</v>
      </c>
      <c r="J317" s="22">
        <v>1</v>
      </c>
      <c r="K317" s="22">
        <v>1</v>
      </c>
      <c r="L317" s="22">
        <v>1</v>
      </c>
      <c r="M317" s="22">
        <v>1</v>
      </c>
      <c r="N317" s="22">
        <v>1</v>
      </c>
      <c r="O317" s="22">
        <v>1</v>
      </c>
      <c r="P317" s="22">
        <v>1</v>
      </c>
      <c r="Q317" s="22">
        <v>1</v>
      </c>
      <c r="R317" s="22">
        <v>1</v>
      </c>
      <c r="S317" s="22">
        <v>1</v>
      </c>
      <c r="AJ317">
        <v>0</v>
      </c>
    </row>
    <row r="318" spans="1:36" x14ac:dyDescent="0.25">
      <c r="A318" t="s">
        <v>594</v>
      </c>
      <c r="B318" t="s">
        <v>24</v>
      </c>
      <c r="C318" t="s">
        <v>24</v>
      </c>
      <c r="D318" t="s">
        <v>25</v>
      </c>
      <c r="E318" t="s">
        <v>26</v>
      </c>
      <c r="F318" s="1" t="s">
        <v>595</v>
      </c>
      <c r="I318" t="s">
        <v>28</v>
      </c>
      <c r="J318" s="22">
        <v>1</v>
      </c>
      <c r="K318" s="22">
        <v>1</v>
      </c>
      <c r="L318" s="22">
        <v>1</v>
      </c>
      <c r="M318" s="22">
        <v>1</v>
      </c>
      <c r="N318" s="22">
        <v>1</v>
      </c>
      <c r="O318" s="22">
        <v>1</v>
      </c>
      <c r="P318" s="22">
        <v>1</v>
      </c>
      <c r="Q318" s="22">
        <v>1</v>
      </c>
      <c r="R318" s="22">
        <v>1</v>
      </c>
      <c r="S318" s="22">
        <v>1</v>
      </c>
      <c r="AJ318">
        <v>0</v>
      </c>
    </row>
    <row r="319" spans="1:36" x14ac:dyDescent="0.25">
      <c r="A319" t="s">
        <v>596</v>
      </c>
      <c r="B319" t="s">
        <v>24</v>
      </c>
      <c r="C319" t="s">
        <v>24</v>
      </c>
      <c r="D319" t="s">
        <v>25</v>
      </c>
      <c r="E319" t="s">
        <v>26</v>
      </c>
      <c r="F319" s="1" t="s">
        <v>597</v>
      </c>
      <c r="I319" t="s">
        <v>28</v>
      </c>
      <c r="J319" s="22">
        <v>0.59</v>
      </c>
      <c r="K319" s="22">
        <v>0.59</v>
      </c>
      <c r="L319" s="22">
        <v>0.59</v>
      </c>
      <c r="M319" s="22">
        <v>0.59</v>
      </c>
      <c r="N319" s="22">
        <v>0.59</v>
      </c>
      <c r="O319" s="22">
        <v>0.91</v>
      </c>
      <c r="P319" s="22">
        <v>0.59</v>
      </c>
      <c r="Q319" s="22">
        <v>0.59</v>
      </c>
      <c r="R319" s="22">
        <v>0.59</v>
      </c>
      <c r="S319" s="22">
        <v>0.59</v>
      </c>
      <c r="AJ319">
        <v>0</v>
      </c>
    </row>
    <row r="320" spans="1:36" x14ac:dyDescent="0.25">
      <c r="A320" t="s">
        <v>596</v>
      </c>
      <c r="B320" t="s">
        <v>24</v>
      </c>
      <c r="C320" t="s">
        <v>24</v>
      </c>
      <c r="D320" t="s">
        <v>25</v>
      </c>
      <c r="E320" t="s">
        <v>143</v>
      </c>
      <c r="F320" s="1" t="s">
        <v>597</v>
      </c>
      <c r="I320" t="s">
        <v>144</v>
      </c>
      <c r="J320" s="22">
        <v>0.32</v>
      </c>
      <c r="K320" s="22">
        <v>0.32</v>
      </c>
      <c r="L320" s="22">
        <v>0.32</v>
      </c>
      <c r="M320" s="22">
        <v>0.32</v>
      </c>
      <c r="N320" s="22">
        <v>0.32</v>
      </c>
      <c r="O320" s="22">
        <v>0</v>
      </c>
      <c r="P320" s="22">
        <v>0.32</v>
      </c>
      <c r="Q320" s="22">
        <v>0.32</v>
      </c>
      <c r="R320" s="22">
        <v>0.32</v>
      </c>
      <c r="S320" s="22">
        <v>0.32</v>
      </c>
      <c r="AJ320">
        <v>0</v>
      </c>
    </row>
    <row r="321" spans="1:36" x14ac:dyDescent="0.25">
      <c r="A321" t="s">
        <v>596</v>
      </c>
      <c r="B321" t="s">
        <v>24</v>
      </c>
      <c r="C321" t="s">
        <v>24</v>
      </c>
      <c r="D321" t="s">
        <v>598</v>
      </c>
      <c r="E321" t="s">
        <v>26</v>
      </c>
      <c r="F321" s="1" t="s">
        <v>597</v>
      </c>
      <c r="I321" t="s">
        <v>599</v>
      </c>
      <c r="J321" s="22">
        <v>0.04</v>
      </c>
      <c r="K321" s="22">
        <v>0.04</v>
      </c>
      <c r="L321" s="22">
        <v>0.04</v>
      </c>
      <c r="M321" s="22">
        <v>0.04</v>
      </c>
      <c r="N321" s="22">
        <v>0.04</v>
      </c>
      <c r="O321" s="22">
        <v>0.04</v>
      </c>
      <c r="P321" s="22">
        <v>0.04</v>
      </c>
      <c r="Q321" s="22">
        <v>0.04</v>
      </c>
      <c r="R321" s="22">
        <v>0.04</v>
      </c>
      <c r="S321" s="22">
        <v>0.04</v>
      </c>
      <c r="AJ321">
        <v>0</v>
      </c>
    </row>
    <row r="322" spans="1:36" x14ac:dyDescent="0.25">
      <c r="A322" t="s">
        <v>596</v>
      </c>
      <c r="B322" t="s">
        <v>24</v>
      </c>
      <c r="C322" t="s">
        <v>24</v>
      </c>
      <c r="D322" t="s">
        <v>373</v>
      </c>
      <c r="E322" t="s">
        <v>26</v>
      </c>
      <c r="F322" s="1" t="s">
        <v>597</v>
      </c>
      <c r="I322" t="s">
        <v>600</v>
      </c>
      <c r="J322" s="22">
        <v>0.05</v>
      </c>
      <c r="K322" s="22">
        <v>0.05</v>
      </c>
      <c r="L322" s="22">
        <v>0.05</v>
      </c>
      <c r="M322" s="22">
        <v>0.05</v>
      </c>
      <c r="N322" s="22">
        <v>0.05</v>
      </c>
      <c r="O322" s="22">
        <v>0.05</v>
      </c>
      <c r="P322" s="22">
        <v>0.05</v>
      </c>
      <c r="Q322" s="22">
        <v>0.05</v>
      </c>
      <c r="R322" s="22">
        <v>0.05</v>
      </c>
      <c r="S322" s="22">
        <v>0.05</v>
      </c>
      <c r="AJ322">
        <v>0</v>
      </c>
    </row>
    <row r="323" spans="1:36" x14ac:dyDescent="0.25">
      <c r="A323" t="s">
        <v>601</v>
      </c>
      <c r="B323" t="s">
        <v>24</v>
      </c>
      <c r="C323" t="s">
        <v>24</v>
      </c>
      <c r="D323" t="s">
        <v>25</v>
      </c>
      <c r="E323" t="s">
        <v>26</v>
      </c>
      <c r="F323" s="1" t="s">
        <v>602</v>
      </c>
      <c r="I323" t="s">
        <v>28</v>
      </c>
      <c r="J323" s="22">
        <v>0.4194</v>
      </c>
      <c r="K323" s="22">
        <v>0.2813</v>
      </c>
      <c r="L323" s="22">
        <v>0.4194</v>
      </c>
      <c r="M323" s="22">
        <v>0.3074</v>
      </c>
      <c r="N323" s="22">
        <v>0.4194</v>
      </c>
      <c r="O323" s="22">
        <v>0.3074</v>
      </c>
      <c r="P323" s="22">
        <v>0.9118</v>
      </c>
      <c r="Q323" s="22">
        <v>0.4194</v>
      </c>
      <c r="R323" s="22">
        <v>0.4194</v>
      </c>
      <c r="S323" s="22">
        <v>0.8985</v>
      </c>
      <c r="AJ323">
        <v>0</v>
      </c>
    </row>
    <row r="324" spans="1:36" x14ac:dyDescent="0.25">
      <c r="A324" t="s">
        <v>601</v>
      </c>
      <c r="B324" t="s">
        <v>24</v>
      </c>
      <c r="C324" t="s">
        <v>24</v>
      </c>
      <c r="D324" t="s">
        <v>25</v>
      </c>
      <c r="E324" t="s">
        <v>143</v>
      </c>
      <c r="F324" s="1" t="s">
        <v>602</v>
      </c>
      <c r="I324" t="s">
        <v>144</v>
      </c>
      <c r="J324" s="22">
        <v>0</v>
      </c>
      <c r="K324" s="22">
        <v>0.0103</v>
      </c>
      <c r="L324" s="22">
        <v>0</v>
      </c>
      <c r="M324" s="22">
        <v>0.0203</v>
      </c>
      <c r="N324" s="22">
        <v>0</v>
      </c>
      <c r="O324" s="22">
        <v>0.0203</v>
      </c>
      <c r="P324" s="22">
        <v>0</v>
      </c>
      <c r="Q324" s="22">
        <v>0</v>
      </c>
      <c r="R324" s="22">
        <v>0</v>
      </c>
      <c r="S324" s="22">
        <v>0</v>
      </c>
      <c r="AJ324">
        <v>0</v>
      </c>
    </row>
    <row r="325" spans="1:36" x14ac:dyDescent="0.25">
      <c r="A325" t="s">
        <v>601</v>
      </c>
      <c r="B325" t="s">
        <v>24</v>
      </c>
      <c r="C325" t="s">
        <v>24</v>
      </c>
      <c r="D325" t="s">
        <v>35</v>
      </c>
      <c r="E325" t="s">
        <v>26</v>
      </c>
      <c r="F325" s="1" t="s">
        <v>602</v>
      </c>
      <c r="I325" t="s">
        <v>603</v>
      </c>
      <c r="J325" s="22">
        <v>0.0728</v>
      </c>
      <c r="K325" s="22">
        <v>0.094</v>
      </c>
      <c r="L325" s="22">
        <v>0.0728</v>
      </c>
      <c r="M325" s="22">
        <v>0.0904</v>
      </c>
      <c r="N325" s="22">
        <v>0.0728</v>
      </c>
      <c r="O325" s="22">
        <v>0.0904</v>
      </c>
      <c r="P325" s="22">
        <v>0.0058</v>
      </c>
      <c r="Q325" s="22">
        <v>0.0728</v>
      </c>
      <c r="R325" s="22">
        <v>0.0728</v>
      </c>
      <c r="S325" s="22">
        <v>0.0089</v>
      </c>
      <c r="AJ325">
        <v>0</v>
      </c>
    </row>
    <row r="326" spans="1:36" x14ac:dyDescent="0.25">
      <c r="A326" t="s">
        <v>601</v>
      </c>
      <c r="B326" t="s">
        <v>24</v>
      </c>
      <c r="C326" t="s">
        <v>24</v>
      </c>
      <c r="D326" t="s">
        <v>604</v>
      </c>
      <c r="E326" t="s">
        <v>26</v>
      </c>
      <c r="F326" s="1" t="s">
        <v>602</v>
      </c>
      <c r="I326" t="s">
        <v>605</v>
      </c>
      <c r="J326" s="22">
        <v>0.0049</v>
      </c>
      <c r="K326" s="22">
        <v>0.0015</v>
      </c>
      <c r="L326" s="22">
        <v>0.0049</v>
      </c>
      <c r="M326" s="22">
        <v>0.0016</v>
      </c>
      <c r="N326" s="22">
        <v>0.0049</v>
      </c>
      <c r="O326" s="22">
        <v>0.0016</v>
      </c>
      <c r="P326" s="22">
        <v>0.0001</v>
      </c>
      <c r="Q326" s="22">
        <v>0.0049</v>
      </c>
      <c r="R326" s="22">
        <v>0.0049</v>
      </c>
      <c r="S326" s="22">
        <v>0.0018</v>
      </c>
      <c r="AJ326">
        <v>0</v>
      </c>
    </row>
    <row r="327" spans="1:36" x14ac:dyDescent="0.25">
      <c r="A327" t="s">
        <v>601</v>
      </c>
      <c r="B327" t="s">
        <v>24</v>
      </c>
      <c r="C327" t="s">
        <v>24</v>
      </c>
      <c r="D327" t="s">
        <v>606</v>
      </c>
      <c r="E327" t="s">
        <v>26</v>
      </c>
      <c r="F327" s="1" t="s">
        <v>602</v>
      </c>
      <c r="I327" t="s">
        <v>607</v>
      </c>
      <c r="J327" s="22">
        <v>0.0045</v>
      </c>
      <c r="K327" s="22">
        <v>0.0052</v>
      </c>
      <c r="L327" s="22">
        <v>0.0045</v>
      </c>
      <c r="M327" s="22">
        <v>0.0017</v>
      </c>
      <c r="N327" s="22">
        <v>0.0045</v>
      </c>
      <c r="O327" s="22">
        <v>0.0017</v>
      </c>
      <c r="P327" s="22">
        <v>0.0001</v>
      </c>
      <c r="Q327" s="22">
        <v>0.0045</v>
      </c>
      <c r="R327" s="22">
        <v>0.0045</v>
      </c>
      <c r="S327" s="22">
        <v>0.0002</v>
      </c>
      <c r="AJ327">
        <v>0</v>
      </c>
    </row>
    <row r="328" spans="1:36" x14ac:dyDescent="0.25">
      <c r="A328" t="s">
        <v>601</v>
      </c>
      <c r="B328" t="s">
        <v>24</v>
      </c>
      <c r="C328" t="s">
        <v>24</v>
      </c>
      <c r="D328" t="s">
        <v>598</v>
      </c>
      <c r="E328" t="s">
        <v>26</v>
      </c>
      <c r="F328" s="1" t="s">
        <v>602</v>
      </c>
      <c r="I328" t="s">
        <v>608</v>
      </c>
      <c r="J328" s="22">
        <v>0.0103</v>
      </c>
      <c r="K328" s="22">
        <v>0.0101</v>
      </c>
      <c r="L328" s="22">
        <v>0.0103</v>
      </c>
      <c r="M328" s="22">
        <v>0.0139</v>
      </c>
      <c r="N328" s="22">
        <v>0.0103</v>
      </c>
      <c r="O328" s="22">
        <v>0.0139</v>
      </c>
      <c r="P328" s="22">
        <v>0.0044</v>
      </c>
      <c r="Q328" s="22">
        <v>0.0103</v>
      </c>
      <c r="R328" s="22">
        <v>0.0103</v>
      </c>
      <c r="S328" s="22">
        <v>0.0069</v>
      </c>
      <c r="AJ328">
        <v>0</v>
      </c>
    </row>
    <row r="329" spans="1:36" x14ac:dyDescent="0.25">
      <c r="A329" t="s">
        <v>601</v>
      </c>
      <c r="B329" t="s">
        <v>24</v>
      </c>
      <c r="C329" t="s">
        <v>24</v>
      </c>
      <c r="D329" t="s">
        <v>609</v>
      </c>
      <c r="E329" t="s">
        <v>26</v>
      </c>
      <c r="F329" s="1" t="s">
        <v>602</v>
      </c>
      <c r="I329" t="s">
        <v>610</v>
      </c>
      <c r="J329" s="22">
        <v>0.1702</v>
      </c>
      <c r="K329" s="22">
        <v>0.1682</v>
      </c>
      <c r="L329" s="22">
        <v>0.1702</v>
      </c>
      <c r="M329" s="22">
        <v>0.2065</v>
      </c>
      <c r="N329" s="22">
        <v>0.1702</v>
      </c>
      <c r="O329" s="22">
        <v>0.2065</v>
      </c>
      <c r="P329" s="22">
        <v>0.0151</v>
      </c>
      <c r="Q329" s="22">
        <v>0.1702</v>
      </c>
      <c r="R329" s="22">
        <v>0.1702</v>
      </c>
      <c r="S329" s="22">
        <v>0.0195</v>
      </c>
      <c r="AJ329">
        <v>0</v>
      </c>
    </row>
    <row r="330" spans="1:36" x14ac:dyDescent="0.25">
      <c r="A330" t="s">
        <v>601</v>
      </c>
      <c r="B330" t="s">
        <v>24</v>
      </c>
      <c r="C330" t="s">
        <v>24</v>
      </c>
      <c r="D330" t="s">
        <v>611</v>
      </c>
      <c r="E330" t="s">
        <v>26</v>
      </c>
      <c r="F330" s="1" t="s">
        <v>602</v>
      </c>
      <c r="I330" t="s">
        <v>612</v>
      </c>
      <c r="J330" s="22">
        <v>0.0078</v>
      </c>
      <c r="K330" s="22">
        <v>0.0097</v>
      </c>
      <c r="L330" s="22">
        <v>0.0078</v>
      </c>
      <c r="M330" s="22">
        <v>0.0097</v>
      </c>
      <c r="N330" s="22">
        <v>0.0078</v>
      </c>
      <c r="O330" s="22">
        <v>0.0097</v>
      </c>
      <c r="P330" s="22">
        <v>0.0021</v>
      </c>
      <c r="Q330" s="22">
        <v>0.0078</v>
      </c>
      <c r="R330" s="22">
        <v>0.0078</v>
      </c>
      <c r="S330" s="22">
        <v>0.0004</v>
      </c>
      <c r="AJ330">
        <v>0</v>
      </c>
    </row>
    <row r="331" spans="1:36" x14ac:dyDescent="0.25">
      <c r="A331" t="s">
        <v>601</v>
      </c>
      <c r="B331" t="s">
        <v>24</v>
      </c>
      <c r="C331" t="s">
        <v>24</v>
      </c>
      <c r="D331" t="s">
        <v>613</v>
      </c>
      <c r="E331" t="s">
        <v>26</v>
      </c>
      <c r="F331" s="1" t="s">
        <v>602</v>
      </c>
      <c r="I331" t="s">
        <v>614</v>
      </c>
      <c r="J331" s="22">
        <v>0.0137</v>
      </c>
      <c r="K331" s="22">
        <v>0.0164</v>
      </c>
      <c r="L331" s="22">
        <v>0.0137</v>
      </c>
      <c r="M331" s="22">
        <v>0.0113</v>
      </c>
      <c r="N331" s="22">
        <v>0.0137</v>
      </c>
      <c r="O331" s="22">
        <v>0.0113</v>
      </c>
      <c r="P331" s="22">
        <v>0.0074</v>
      </c>
      <c r="Q331" s="22">
        <v>0.0137</v>
      </c>
      <c r="R331" s="22">
        <v>0.0137</v>
      </c>
      <c r="S331" s="22">
        <v>0.0057</v>
      </c>
      <c r="AJ331">
        <v>0</v>
      </c>
    </row>
    <row r="332" spans="1:36" x14ac:dyDescent="0.25">
      <c r="A332" t="s">
        <v>601</v>
      </c>
      <c r="B332" t="s">
        <v>24</v>
      </c>
      <c r="C332" t="s">
        <v>24</v>
      </c>
      <c r="D332" t="s">
        <v>94</v>
      </c>
      <c r="E332" t="s">
        <v>54</v>
      </c>
      <c r="F332" s="1" t="s">
        <v>602</v>
      </c>
      <c r="I332" t="s">
        <v>615</v>
      </c>
      <c r="J332" s="22">
        <v>0.0069</v>
      </c>
      <c r="K332" s="22">
        <v>0.0086</v>
      </c>
      <c r="L332" s="22">
        <v>0.0069</v>
      </c>
      <c r="M332" s="22">
        <v>0.0085</v>
      </c>
      <c r="N332" s="22">
        <v>0.0069</v>
      </c>
      <c r="O332" s="22">
        <v>0.0085</v>
      </c>
      <c r="P332" s="22">
        <v>0.0007</v>
      </c>
      <c r="Q332" s="22">
        <v>0.0069</v>
      </c>
      <c r="R332" s="22">
        <v>0.0069</v>
      </c>
      <c r="S332" s="22">
        <v>0.0079</v>
      </c>
      <c r="AJ332">
        <v>0</v>
      </c>
    </row>
    <row r="333" spans="1:36" x14ac:dyDescent="0.25">
      <c r="A333" t="s">
        <v>601</v>
      </c>
      <c r="B333" t="s">
        <v>24</v>
      </c>
      <c r="C333" t="s">
        <v>24</v>
      </c>
      <c r="D333" t="s">
        <v>616</v>
      </c>
      <c r="E333" t="s">
        <v>26</v>
      </c>
      <c r="F333" s="1" t="s">
        <v>602</v>
      </c>
      <c r="I333" t="s">
        <v>617</v>
      </c>
      <c r="J333" s="22">
        <v>0.0031</v>
      </c>
      <c r="K333" s="22">
        <v>0.004</v>
      </c>
      <c r="L333" s="22">
        <v>0.0031</v>
      </c>
      <c r="M333" s="22">
        <v>0.0039</v>
      </c>
      <c r="N333" s="22">
        <v>0.0031</v>
      </c>
      <c r="O333" s="22">
        <v>0.0039</v>
      </c>
      <c r="P333" s="22">
        <v>0.0069</v>
      </c>
      <c r="Q333" s="22">
        <v>0.0031</v>
      </c>
      <c r="R333" s="22">
        <v>0.0031</v>
      </c>
      <c r="S333" s="22">
        <v>0.0009</v>
      </c>
      <c r="AJ333">
        <v>0</v>
      </c>
    </row>
    <row r="334" spans="1:36" x14ac:dyDescent="0.25">
      <c r="A334" t="s">
        <v>601</v>
      </c>
      <c r="B334" t="s">
        <v>24</v>
      </c>
      <c r="C334" t="s">
        <v>24</v>
      </c>
      <c r="D334" t="s">
        <v>265</v>
      </c>
      <c r="E334" t="s">
        <v>26</v>
      </c>
      <c r="F334" s="1" t="s">
        <v>602</v>
      </c>
      <c r="I334" t="s">
        <v>618</v>
      </c>
      <c r="J334" s="22">
        <v>0.0007</v>
      </c>
      <c r="K334" s="22">
        <v>0.0009</v>
      </c>
      <c r="L334" s="22">
        <v>0.0007</v>
      </c>
      <c r="M334" s="22">
        <v>0.0009</v>
      </c>
      <c r="N334" s="22">
        <v>0.0007</v>
      </c>
      <c r="O334" s="22">
        <v>0.0009</v>
      </c>
      <c r="P334" s="22">
        <v>0</v>
      </c>
      <c r="Q334" s="22">
        <v>0.0007</v>
      </c>
      <c r="R334" s="22">
        <v>0.0007</v>
      </c>
      <c r="S334" s="22">
        <v>0</v>
      </c>
      <c r="AJ334">
        <v>0</v>
      </c>
    </row>
    <row r="335" spans="1:36" x14ac:dyDescent="0.25">
      <c r="A335" t="s">
        <v>601</v>
      </c>
      <c r="B335" t="s">
        <v>24</v>
      </c>
      <c r="C335" t="s">
        <v>24</v>
      </c>
      <c r="D335" t="s">
        <v>282</v>
      </c>
      <c r="E335" t="s">
        <v>54</v>
      </c>
      <c r="F335" s="1" t="s">
        <v>602</v>
      </c>
      <c r="I335" t="s">
        <v>619</v>
      </c>
      <c r="J335" s="22">
        <v>0.0316</v>
      </c>
      <c r="K335" s="22">
        <v>0.048</v>
      </c>
      <c r="L335" s="22">
        <v>0.0316</v>
      </c>
      <c r="M335" s="22">
        <v>0.0392</v>
      </c>
      <c r="N335" s="22">
        <v>0.0316</v>
      </c>
      <c r="O335" s="22">
        <v>0.0392</v>
      </c>
      <c r="P335" s="22">
        <v>0.0141</v>
      </c>
      <c r="Q335" s="22">
        <v>0.0316</v>
      </c>
      <c r="R335" s="22">
        <v>0.0316</v>
      </c>
      <c r="S335" s="22">
        <v>0.0172</v>
      </c>
      <c r="AJ335">
        <v>0</v>
      </c>
    </row>
    <row r="336" spans="1:36" x14ac:dyDescent="0.25">
      <c r="A336" t="s">
        <v>601</v>
      </c>
      <c r="B336" t="s">
        <v>24</v>
      </c>
      <c r="C336" t="s">
        <v>24</v>
      </c>
      <c r="D336" t="s">
        <v>620</v>
      </c>
      <c r="E336" t="s">
        <v>54</v>
      </c>
      <c r="F336" s="1" t="s">
        <v>602</v>
      </c>
      <c r="I336" t="s">
        <v>621</v>
      </c>
      <c r="J336" s="22">
        <v>0.0137</v>
      </c>
      <c r="K336" s="22">
        <v>0.017</v>
      </c>
      <c r="L336" s="22">
        <v>0.0137</v>
      </c>
      <c r="M336" s="22">
        <v>0.0171</v>
      </c>
      <c r="N336" s="22">
        <v>0.0137</v>
      </c>
      <c r="O336" s="22">
        <v>0.0171</v>
      </c>
      <c r="P336" s="22">
        <v>0.0061</v>
      </c>
      <c r="Q336" s="22">
        <v>0.0137</v>
      </c>
      <c r="R336" s="22">
        <v>0.0137</v>
      </c>
      <c r="S336" s="22">
        <v>0.0188</v>
      </c>
      <c r="AJ336">
        <v>0</v>
      </c>
    </row>
    <row r="337" spans="1:36" x14ac:dyDescent="0.25">
      <c r="A337" t="s">
        <v>601</v>
      </c>
      <c r="B337" t="s">
        <v>24</v>
      </c>
      <c r="C337" t="s">
        <v>24</v>
      </c>
      <c r="D337" t="s">
        <v>622</v>
      </c>
      <c r="E337" t="s">
        <v>54</v>
      </c>
      <c r="F337" s="1" t="s">
        <v>602</v>
      </c>
      <c r="I337" t="s">
        <v>623</v>
      </c>
      <c r="J337" s="22">
        <v>0.0216</v>
      </c>
      <c r="K337" s="22">
        <v>0.0662</v>
      </c>
      <c r="L337" s="22">
        <v>0.0216</v>
      </c>
      <c r="M337" s="22">
        <v>0.0463</v>
      </c>
      <c r="N337" s="22">
        <v>0.0216</v>
      </c>
      <c r="O337" s="22">
        <v>0.0463</v>
      </c>
      <c r="P337" s="22">
        <v>0.0085</v>
      </c>
      <c r="Q337" s="22">
        <v>0.0216</v>
      </c>
      <c r="R337" s="22">
        <v>0.0216</v>
      </c>
      <c r="S337" s="22">
        <v>0.0099</v>
      </c>
      <c r="AJ337">
        <v>0</v>
      </c>
    </row>
    <row r="338" spans="1:36" x14ac:dyDescent="0.25">
      <c r="A338" t="s">
        <v>601</v>
      </c>
      <c r="B338" t="s">
        <v>24</v>
      </c>
      <c r="C338" t="s">
        <v>24</v>
      </c>
      <c r="D338" t="s">
        <v>624</v>
      </c>
      <c r="E338" t="s">
        <v>26</v>
      </c>
      <c r="F338" s="1" t="s">
        <v>602</v>
      </c>
      <c r="I338" t="s">
        <v>625</v>
      </c>
      <c r="J338" s="22">
        <v>0.0006</v>
      </c>
      <c r="K338" s="22">
        <v>0.0013</v>
      </c>
      <c r="L338" s="22">
        <v>0.0006</v>
      </c>
      <c r="M338" s="22">
        <v>0.0008</v>
      </c>
      <c r="N338" s="22">
        <v>0.0006</v>
      </c>
      <c r="O338" s="22">
        <v>0.0008</v>
      </c>
      <c r="P338" s="22">
        <v>0</v>
      </c>
      <c r="Q338" s="22">
        <v>0.0006</v>
      </c>
      <c r="R338" s="22">
        <v>0.0006</v>
      </c>
      <c r="S338" s="22">
        <v>0.0002</v>
      </c>
      <c r="AJ338">
        <v>0</v>
      </c>
    </row>
    <row r="339" spans="1:36" x14ac:dyDescent="0.25">
      <c r="A339" t="s">
        <v>601</v>
      </c>
      <c r="B339" t="s">
        <v>24</v>
      </c>
      <c r="C339" t="s">
        <v>24</v>
      </c>
      <c r="D339" t="s">
        <v>558</v>
      </c>
      <c r="E339" t="s">
        <v>26</v>
      </c>
      <c r="F339" s="1" t="s">
        <v>602</v>
      </c>
      <c r="I339" t="s">
        <v>626</v>
      </c>
      <c r="J339" s="22">
        <v>0.0015</v>
      </c>
      <c r="K339" s="22">
        <v>0.0025</v>
      </c>
      <c r="L339" s="22">
        <v>0.0015</v>
      </c>
      <c r="M339" s="22">
        <v>0.0018</v>
      </c>
      <c r="N339" s="22">
        <v>0.0015</v>
      </c>
      <c r="O339" s="22">
        <v>0.0018</v>
      </c>
      <c r="P339" s="22">
        <v>0</v>
      </c>
      <c r="Q339" s="22">
        <v>0.0015</v>
      </c>
      <c r="R339" s="22">
        <v>0.0015</v>
      </c>
      <c r="S339" s="22">
        <v>0</v>
      </c>
      <c r="AJ339">
        <v>0</v>
      </c>
    </row>
    <row r="340" spans="1:36" x14ac:dyDescent="0.25">
      <c r="A340" t="s">
        <v>601</v>
      </c>
      <c r="B340" t="s">
        <v>24</v>
      </c>
      <c r="C340" t="s">
        <v>24</v>
      </c>
      <c r="D340" t="s">
        <v>627</v>
      </c>
      <c r="E340" t="s">
        <v>54</v>
      </c>
      <c r="F340" s="1" t="s">
        <v>602</v>
      </c>
      <c r="I340" t="s">
        <v>628</v>
      </c>
      <c r="J340" s="22">
        <v>0.0315</v>
      </c>
      <c r="K340" s="22">
        <v>0.0596</v>
      </c>
      <c r="L340" s="22">
        <v>0.0315</v>
      </c>
      <c r="M340" s="22">
        <v>0.0318</v>
      </c>
      <c r="N340" s="22">
        <v>0.0315</v>
      </c>
      <c r="O340" s="22">
        <v>0.0318</v>
      </c>
      <c r="P340" s="22">
        <v>0.0027</v>
      </c>
      <c r="Q340" s="22">
        <v>0.0315</v>
      </c>
      <c r="R340" s="22">
        <v>0.0315</v>
      </c>
      <c r="S340" s="22">
        <v>0.0018</v>
      </c>
      <c r="AJ340">
        <v>0</v>
      </c>
    </row>
    <row r="341" spans="1:36" x14ac:dyDescent="0.25">
      <c r="A341" t="s">
        <v>601</v>
      </c>
      <c r="B341" t="s">
        <v>24</v>
      </c>
      <c r="C341" t="s">
        <v>24</v>
      </c>
      <c r="D341" t="s">
        <v>629</v>
      </c>
      <c r="E341" t="s">
        <v>54</v>
      </c>
      <c r="F341" s="1" t="s">
        <v>602</v>
      </c>
      <c r="I341" t="s">
        <v>630</v>
      </c>
      <c r="J341" s="22">
        <v>0.0207</v>
      </c>
      <c r="K341" s="22">
        <v>0.0092</v>
      </c>
      <c r="L341" s="22">
        <v>0.0207</v>
      </c>
      <c r="M341" s="22">
        <v>0.0093</v>
      </c>
      <c r="N341" s="22">
        <v>0.0207</v>
      </c>
      <c r="O341" s="22">
        <v>0.0093</v>
      </c>
      <c r="P341" s="22">
        <v>0</v>
      </c>
      <c r="Q341" s="22">
        <v>0.0207</v>
      </c>
      <c r="R341" s="22">
        <v>0.0207</v>
      </c>
      <c r="S341" s="22">
        <v>0</v>
      </c>
      <c r="AJ341">
        <v>0</v>
      </c>
    </row>
    <row r="342" spans="1:36" x14ac:dyDescent="0.25">
      <c r="A342" t="s">
        <v>601</v>
      </c>
      <c r="B342" t="s">
        <v>24</v>
      </c>
      <c r="C342" t="s">
        <v>24</v>
      </c>
      <c r="D342" t="s">
        <v>373</v>
      </c>
      <c r="E342" t="s">
        <v>26</v>
      </c>
      <c r="F342" s="1" t="s">
        <v>602</v>
      </c>
      <c r="I342" t="s">
        <v>631</v>
      </c>
      <c r="J342" s="22">
        <v>0.0016</v>
      </c>
      <c r="K342" s="22">
        <v>0.0001</v>
      </c>
      <c r="L342" s="22">
        <v>0.0016</v>
      </c>
      <c r="M342" s="22">
        <v>0.0016</v>
      </c>
      <c r="N342" s="22">
        <v>0.0016</v>
      </c>
      <c r="O342" s="22">
        <v>0.0016</v>
      </c>
      <c r="P342" s="22">
        <v>0.0126</v>
      </c>
      <c r="Q342" s="22">
        <v>0.0016</v>
      </c>
      <c r="R342" s="22">
        <v>0.0016</v>
      </c>
      <c r="S342" s="22">
        <v>0.0006</v>
      </c>
      <c r="AJ342">
        <v>0</v>
      </c>
    </row>
    <row r="343" spans="1:36" x14ac:dyDescent="0.25">
      <c r="A343" t="s">
        <v>601</v>
      </c>
      <c r="B343" t="s">
        <v>24</v>
      </c>
      <c r="C343" t="s">
        <v>24</v>
      </c>
      <c r="D343" t="s">
        <v>632</v>
      </c>
      <c r="E343" t="s">
        <v>26</v>
      </c>
      <c r="F343" s="1" t="s">
        <v>602</v>
      </c>
      <c r="I343" t="s">
        <v>633</v>
      </c>
      <c r="J343" s="22">
        <v>0.1119</v>
      </c>
      <c r="K343" s="22">
        <v>0.1613</v>
      </c>
      <c r="L343" s="22">
        <v>0.1119</v>
      </c>
      <c r="M343" s="22">
        <v>0.1515</v>
      </c>
      <c r="N343" s="22">
        <v>0.1119</v>
      </c>
      <c r="O343" s="22">
        <v>0.1515</v>
      </c>
      <c r="P343" s="22">
        <v>0.001</v>
      </c>
      <c r="Q343" s="22">
        <v>0.1119</v>
      </c>
      <c r="R343" s="22">
        <v>0.1119</v>
      </c>
      <c r="S343" s="22">
        <v>0</v>
      </c>
      <c r="AJ343">
        <v>0</v>
      </c>
    </row>
    <row r="344" spans="1:36" x14ac:dyDescent="0.25">
      <c r="A344" t="s">
        <v>601</v>
      </c>
      <c r="B344" t="s">
        <v>24</v>
      </c>
      <c r="C344" t="s">
        <v>24</v>
      </c>
      <c r="D344" t="s">
        <v>92</v>
      </c>
      <c r="E344" t="s">
        <v>26</v>
      </c>
      <c r="F344" s="1" t="s">
        <v>602</v>
      </c>
      <c r="I344" t="s">
        <v>93</v>
      </c>
      <c r="J344" s="22">
        <v>0.0226</v>
      </c>
      <c r="K344" s="22">
        <v>0.0068</v>
      </c>
      <c r="L344" s="22">
        <v>0.0226</v>
      </c>
      <c r="M344" s="22">
        <v>0.0068</v>
      </c>
      <c r="N344" s="22">
        <v>0.0226</v>
      </c>
      <c r="O344" s="22">
        <v>0.0068</v>
      </c>
      <c r="P344" s="22">
        <v>0</v>
      </c>
      <c r="Q344" s="22">
        <v>0.0226</v>
      </c>
      <c r="R344" s="22">
        <v>0.0226</v>
      </c>
      <c r="S344" s="22">
        <v>0.0001</v>
      </c>
      <c r="AJ344">
        <v>0</v>
      </c>
    </row>
    <row r="345" spans="1:36" x14ac:dyDescent="0.25">
      <c r="A345" t="s">
        <v>601</v>
      </c>
      <c r="B345" t="s">
        <v>24</v>
      </c>
      <c r="C345" t="s">
        <v>24</v>
      </c>
      <c r="D345" t="s">
        <v>570</v>
      </c>
      <c r="E345" t="s">
        <v>26</v>
      </c>
      <c r="F345" s="1" t="s">
        <v>602</v>
      </c>
      <c r="I345" t="s">
        <v>634</v>
      </c>
      <c r="J345" s="22">
        <v>0.0213</v>
      </c>
      <c r="K345" s="22">
        <v>0.01</v>
      </c>
      <c r="L345" s="22">
        <v>0.0213</v>
      </c>
      <c r="M345" s="22">
        <v>0.01</v>
      </c>
      <c r="N345" s="22">
        <v>0.0213</v>
      </c>
      <c r="O345" s="22">
        <v>0.01</v>
      </c>
      <c r="P345" s="22">
        <v>0</v>
      </c>
      <c r="Q345" s="22">
        <v>0.0213</v>
      </c>
      <c r="R345" s="22">
        <v>0.0213</v>
      </c>
      <c r="S345" s="22">
        <v>0.0001</v>
      </c>
      <c r="AJ345">
        <v>0</v>
      </c>
    </row>
    <row r="346" spans="1:36" x14ac:dyDescent="0.25">
      <c r="A346" t="s">
        <v>601</v>
      </c>
      <c r="B346" t="s">
        <v>24</v>
      </c>
      <c r="C346" t="s">
        <v>24</v>
      </c>
      <c r="D346" t="s">
        <v>635</v>
      </c>
      <c r="E346" t="s">
        <v>26</v>
      </c>
      <c r="F346" s="1" t="s">
        <v>602</v>
      </c>
      <c r="I346" t="s">
        <v>636</v>
      </c>
      <c r="J346" s="22">
        <v>0.0014</v>
      </c>
      <c r="K346" s="22">
        <v>0.0015</v>
      </c>
      <c r="L346" s="22">
        <v>0.0014</v>
      </c>
      <c r="M346" s="22">
        <v>0.0017</v>
      </c>
      <c r="N346" s="22">
        <v>0.0014</v>
      </c>
      <c r="O346" s="22">
        <v>0.0017</v>
      </c>
      <c r="P346" s="22">
        <v>0.0001</v>
      </c>
      <c r="Q346" s="22">
        <v>0.0014</v>
      </c>
      <c r="R346" s="22">
        <v>0.0014</v>
      </c>
      <c r="S346" s="22">
        <v>0.0001</v>
      </c>
      <c r="AJ346">
        <v>0</v>
      </c>
    </row>
    <row r="347" spans="1:36" x14ac:dyDescent="0.25">
      <c r="A347" t="s">
        <v>601</v>
      </c>
      <c r="B347" t="s">
        <v>24</v>
      </c>
      <c r="C347" t="s">
        <v>24</v>
      </c>
      <c r="D347" t="s">
        <v>637</v>
      </c>
      <c r="E347" t="s">
        <v>26</v>
      </c>
      <c r="F347" s="1" t="s">
        <v>602</v>
      </c>
      <c r="I347" t="s">
        <v>638</v>
      </c>
      <c r="J347" s="22">
        <v>0.0057</v>
      </c>
      <c r="K347" s="22">
        <v>0.0063</v>
      </c>
      <c r="L347" s="22">
        <v>0.0057</v>
      </c>
      <c r="M347" s="22">
        <v>0.006</v>
      </c>
      <c r="N347" s="22">
        <v>0.0057</v>
      </c>
      <c r="O347" s="22">
        <v>0.006</v>
      </c>
      <c r="P347" s="22">
        <v>0.0005</v>
      </c>
      <c r="Q347" s="22">
        <v>0.0057</v>
      </c>
      <c r="R347" s="22">
        <v>0.0057</v>
      </c>
      <c r="S347" s="22">
        <v>0.0005</v>
      </c>
      <c r="AJ347">
        <v>0</v>
      </c>
    </row>
    <row r="348" spans="1:36" x14ac:dyDescent="0.25">
      <c r="A348" t="s">
        <v>639</v>
      </c>
      <c r="B348" t="s">
        <v>24</v>
      </c>
      <c r="C348" t="s">
        <v>24</v>
      </c>
      <c r="D348" t="s">
        <v>25</v>
      </c>
      <c r="E348" t="s">
        <v>26</v>
      </c>
      <c r="F348" s="1" t="s">
        <v>640</v>
      </c>
      <c r="I348" t="s">
        <v>28</v>
      </c>
      <c r="J348" s="22">
        <v>0.33</v>
      </c>
      <c r="K348" s="22">
        <v>0.33</v>
      </c>
      <c r="L348" s="22">
        <v>0.33</v>
      </c>
      <c r="M348" s="22">
        <v>0.18</v>
      </c>
      <c r="N348" s="22">
        <v>0.18</v>
      </c>
      <c r="O348" s="22">
        <v>0.33</v>
      </c>
      <c r="P348" s="22">
        <v>0.18</v>
      </c>
      <c r="Q348" s="22">
        <v>0.33</v>
      </c>
      <c r="R348" s="22">
        <v>0.18</v>
      </c>
      <c r="S348" s="22">
        <v>0.18</v>
      </c>
      <c r="AJ348">
        <v>0</v>
      </c>
    </row>
    <row r="349" spans="1:36" x14ac:dyDescent="0.25">
      <c r="A349" t="s">
        <v>639</v>
      </c>
      <c r="B349" t="s">
        <v>24</v>
      </c>
      <c r="C349" t="s">
        <v>24</v>
      </c>
      <c r="D349" t="s">
        <v>25</v>
      </c>
      <c r="E349" t="s">
        <v>143</v>
      </c>
      <c r="F349" s="1" t="s">
        <v>640</v>
      </c>
      <c r="I349" t="s">
        <v>144</v>
      </c>
      <c r="J349" s="22">
        <v>0</v>
      </c>
      <c r="K349" s="22">
        <v>0</v>
      </c>
      <c r="L349" s="22">
        <v>0</v>
      </c>
      <c r="M349" s="22">
        <v>0.15</v>
      </c>
      <c r="N349" s="22">
        <v>0.15</v>
      </c>
      <c r="O349" s="22">
        <v>0</v>
      </c>
      <c r="P349" s="22">
        <v>0.15</v>
      </c>
      <c r="Q349" s="22">
        <v>0</v>
      </c>
      <c r="R349" s="22">
        <v>0.15</v>
      </c>
      <c r="S349" s="22">
        <v>0.15</v>
      </c>
      <c r="AJ349">
        <v>0</v>
      </c>
    </row>
    <row r="350" spans="1:36" x14ac:dyDescent="0.25">
      <c r="A350" t="s">
        <v>639</v>
      </c>
      <c r="B350" t="s">
        <v>24</v>
      </c>
      <c r="C350" t="s">
        <v>24</v>
      </c>
      <c r="D350" t="s">
        <v>598</v>
      </c>
      <c r="E350" t="s">
        <v>26</v>
      </c>
      <c r="F350" s="1" t="s">
        <v>640</v>
      </c>
      <c r="I350" t="s">
        <v>599</v>
      </c>
      <c r="J350" s="22">
        <v>0.02</v>
      </c>
      <c r="K350" s="22">
        <v>0.02</v>
      </c>
      <c r="L350" s="22">
        <v>0.02</v>
      </c>
      <c r="M350" s="22">
        <v>0.02</v>
      </c>
      <c r="N350" s="22">
        <v>0.02</v>
      </c>
      <c r="O350" s="22">
        <v>0.02</v>
      </c>
      <c r="P350" s="22">
        <v>0.02</v>
      </c>
      <c r="Q350" s="22">
        <v>0.02</v>
      </c>
      <c r="R350" s="22">
        <v>0.02</v>
      </c>
      <c r="S350" s="22">
        <v>0.02</v>
      </c>
      <c r="AJ350">
        <v>0</v>
      </c>
    </row>
    <row r="351" spans="1:36" x14ac:dyDescent="0.25">
      <c r="A351" t="s">
        <v>639</v>
      </c>
      <c r="B351" t="s">
        <v>24</v>
      </c>
      <c r="C351" t="s">
        <v>24</v>
      </c>
      <c r="D351" t="s">
        <v>32</v>
      </c>
      <c r="E351" t="s">
        <v>26</v>
      </c>
      <c r="F351" s="1" t="s">
        <v>640</v>
      </c>
      <c r="I351" t="s">
        <v>34</v>
      </c>
      <c r="J351" s="22">
        <v>0.01</v>
      </c>
      <c r="K351" s="22">
        <v>0.01</v>
      </c>
      <c r="L351" s="22">
        <v>0.01</v>
      </c>
      <c r="M351" s="22">
        <v>0.01</v>
      </c>
      <c r="N351" s="22">
        <v>0.01</v>
      </c>
      <c r="O351" s="22">
        <v>0.01</v>
      </c>
      <c r="P351" s="22">
        <v>0.01</v>
      </c>
      <c r="Q351" s="22">
        <v>0.01</v>
      </c>
      <c r="R351" s="22">
        <v>0.01</v>
      </c>
      <c r="S351" s="22">
        <v>0.01</v>
      </c>
      <c r="AJ351">
        <v>1</v>
      </c>
    </row>
    <row r="352" spans="1:36" x14ac:dyDescent="0.25">
      <c r="A352" t="s">
        <v>639</v>
      </c>
      <c r="B352" t="s">
        <v>24</v>
      </c>
      <c r="C352" t="s">
        <v>24</v>
      </c>
      <c r="D352" t="s">
        <v>228</v>
      </c>
      <c r="E352" t="s">
        <v>54</v>
      </c>
      <c r="F352" s="1" t="s">
        <v>640</v>
      </c>
      <c r="I352" t="s">
        <v>641</v>
      </c>
      <c r="J352" s="22">
        <v>0.3</v>
      </c>
      <c r="K352" s="22">
        <v>0.3</v>
      </c>
      <c r="L352" s="22">
        <v>0.3</v>
      </c>
      <c r="M352" s="22">
        <v>0.3</v>
      </c>
      <c r="N352" s="22">
        <v>0.3</v>
      </c>
      <c r="O352" s="22">
        <v>0.3</v>
      </c>
      <c r="P352" s="22">
        <v>0.3</v>
      </c>
      <c r="Q352" s="22">
        <v>0.3</v>
      </c>
      <c r="R352" s="22">
        <v>0.3</v>
      </c>
      <c r="S352" s="22">
        <v>0.3</v>
      </c>
      <c r="AJ352">
        <v>0</v>
      </c>
    </row>
    <row r="353" spans="1:36" x14ac:dyDescent="0.25">
      <c r="A353" t="s">
        <v>639</v>
      </c>
      <c r="B353" t="s">
        <v>24</v>
      </c>
      <c r="C353" t="s">
        <v>24</v>
      </c>
      <c r="D353" t="s">
        <v>642</v>
      </c>
      <c r="E353" t="s">
        <v>54</v>
      </c>
      <c r="F353" s="1" t="s">
        <v>640</v>
      </c>
      <c r="I353" t="s">
        <v>643</v>
      </c>
      <c r="J353" s="22">
        <v>0.12</v>
      </c>
      <c r="K353" s="22">
        <v>0.12</v>
      </c>
      <c r="L353" s="22">
        <v>0.12</v>
      </c>
      <c r="M353" s="22">
        <v>0.12</v>
      </c>
      <c r="N353" s="22">
        <v>0.12</v>
      </c>
      <c r="O353" s="22">
        <v>0.12</v>
      </c>
      <c r="P353" s="22">
        <v>0.12</v>
      </c>
      <c r="Q353" s="22">
        <v>0.12</v>
      </c>
      <c r="R353" s="22">
        <v>0.12</v>
      </c>
      <c r="S353" s="22">
        <v>0.12</v>
      </c>
      <c r="AJ353">
        <v>0</v>
      </c>
    </row>
    <row r="354" spans="1:36" x14ac:dyDescent="0.25">
      <c r="A354" t="s">
        <v>639</v>
      </c>
      <c r="B354" t="s">
        <v>24</v>
      </c>
      <c r="C354" t="s">
        <v>24</v>
      </c>
      <c r="D354" t="s">
        <v>644</v>
      </c>
      <c r="E354" t="s">
        <v>54</v>
      </c>
      <c r="F354" s="1" t="s">
        <v>640</v>
      </c>
      <c r="I354" t="s">
        <v>645</v>
      </c>
      <c r="J354" s="22">
        <v>0</v>
      </c>
      <c r="K354" s="22">
        <v>0</v>
      </c>
      <c r="L354" s="22">
        <v>0</v>
      </c>
      <c r="M354" s="22">
        <v>0</v>
      </c>
      <c r="N354" s="22">
        <v>0</v>
      </c>
      <c r="O354" s="22">
        <v>0</v>
      </c>
      <c r="P354" s="22">
        <v>0</v>
      </c>
      <c r="Q354" s="22">
        <v>0</v>
      </c>
      <c r="R354" s="22">
        <v>0</v>
      </c>
      <c r="S354" s="22">
        <v>0</v>
      </c>
      <c r="AJ354">
        <v>0</v>
      </c>
    </row>
    <row r="355" spans="1:36" x14ac:dyDescent="0.25">
      <c r="A355" t="s">
        <v>639</v>
      </c>
      <c r="B355" t="s">
        <v>24</v>
      </c>
      <c r="C355" t="s">
        <v>24</v>
      </c>
      <c r="D355" t="s">
        <v>548</v>
      </c>
      <c r="E355" t="s">
        <v>26</v>
      </c>
      <c r="F355" s="1" t="s">
        <v>640</v>
      </c>
      <c r="I355" t="s">
        <v>549</v>
      </c>
      <c r="J355" s="22">
        <v>0</v>
      </c>
      <c r="K355" s="22">
        <v>0</v>
      </c>
      <c r="L355" s="22">
        <v>0</v>
      </c>
      <c r="M355" s="22">
        <v>0</v>
      </c>
      <c r="N355" s="22">
        <v>0</v>
      </c>
      <c r="O355" s="22">
        <v>0</v>
      </c>
      <c r="P355" s="22">
        <v>0</v>
      </c>
      <c r="Q355" s="22">
        <v>0</v>
      </c>
      <c r="R355" s="22">
        <v>0</v>
      </c>
      <c r="S355" s="22">
        <v>0</v>
      </c>
      <c r="AJ355">
        <v>0</v>
      </c>
    </row>
    <row r="356" spans="1:36" x14ac:dyDescent="0.25">
      <c r="A356" t="s">
        <v>639</v>
      </c>
      <c r="B356" t="s">
        <v>24</v>
      </c>
      <c r="C356" t="s">
        <v>24</v>
      </c>
      <c r="D356" t="s">
        <v>373</v>
      </c>
      <c r="E356" t="s">
        <v>26</v>
      </c>
      <c r="F356" s="1" t="s">
        <v>640</v>
      </c>
      <c r="I356" t="s">
        <v>600</v>
      </c>
      <c r="J356" s="22">
        <v>0.03</v>
      </c>
      <c r="K356" s="22">
        <v>0.03</v>
      </c>
      <c r="L356" s="22">
        <v>0.03</v>
      </c>
      <c r="M356" s="22">
        <v>0.03</v>
      </c>
      <c r="N356" s="22">
        <v>0.03</v>
      </c>
      <c r="O356" s="22">
        <v>0.03</v>
      </c>
      <c r="P356" s="22">
        <v>0.03</v>
      </c>
      <c r="Q356" s="22">
        <v>0.03</v>
      </c>
      <c r="R356" s="22">
        <v>0.03</v>
      </c>
      <c r="S356" s="22">
        <v>0.03</v>
      </c>
      <c r="AJ356">
        <v>0</v>
      </c>
    </row>
    <row r="357" spans="1:36" x14ac:dyDescent="0.25">
      <c r="A357" t="s">
        <v>639</v>
      </c>
      <c r="B357" t="s">
        <v>24</v>
      </c>
      <c r="C357" t="s">
        <v>24</v>
      </c>
      <c r="D357" t="s">
        <v>646</v>
      </c>
      <c r="E357" t="s">
        <v>54</v>
      </c>
      <c r="F357" s="1" t="s">
        <v>640</v>
      </c>
      <c r="I357" t="s">
        <v>647</v>
      </c>
      <c r="J357" s="22">
        <v>0.19</v>
      </c>
      <c r="K357" s="22">
        <v>0.19</v>
      </c>
      <c r="L357" s="22">
        <v>0.19</v>
      </c>
      <c r="M357" s="22">
        <v>0.19</v>
      </c>
      <c r="N357" s="22">
        <v>0.19</v>
      </c>
      <c r="O357" s="22">
        <v>0.19</v>
      </c>
      <c r="P357" s="22">
        <v>0.19</v>
      </c>
      <c r="Q357" s="22">
        <v>0.19</v>
      </c>
      <c r="R357" s="22">
        <v>0.19</v>
      </c>
      <c r="S357" s="22">
        <v>0.19</v>
      </c>
      <c r="AJ357">
        <v>0</v>
      </c>
    </row>
    <row r="358" spans="1:36" x14ac:dyDescent="0.25">
      <c r="A358" t="s">
        <v>648</v>
      </c>
      <c r="B358" t="s">
        <v>24</v>
      </c>
      <c r="C358" t="s">
        <v>24</v>
      </c>
      <c r="D358" t="s">
        <v>25</v>
      </c>
      <c r="E358" t="s">
        <v>143</v>
      </c>
      <c r="F358" s="1" t="s">
        <v>649</v>
      </c>
      <c r="I358" t="s">
        <v>144</v>
      </c>
      <c r="J358" s="22">
        <v>0.0673</v>
      </c>
      <c r="K358" s="22">
        <v>0</v>
      </c>
      <c r="L358" s="22">
        <v>0</v>
      </c>
      <c r="M358" s="22">
        <v>0.0673</v>
      </c>
      <c r="N358" s="22">
        <v>0.0673</v>
      </c>
      <c r="O358" s="22">
        <v>0</v>
      </c>
      <c r="P358" s="22">
        <v>0.0673</v>
      </c>
      <c r="Q358" s="22">
        <v>0.0673</v>
      </c>
      <c r="R358" s="22">
        <v>0.0673</v>
      </c>
      <c r="S358" s="22">
        <v>0.0673</v>
      </c>
      <c r="AJ358">
        <v>0</v>
      </c>
    </row>
    <row r="359" spans="1:36" x14ac:dyDescent="0.25">
      <c r="A359" t="s">
        <v>648</v>
      </c>
      <c r="B359" t="s">
        <v>24</v>
      </c>
      <c r="C359" t="s">
        <v>24</v>
      </c>
      <c r="D359" t="s">
        <v>25</v>
      </c>
      <c r="E359" t="s">
        <v>139</v>
      </c>
      <c r="F359" s="1" t="s">
        <v>649</v>
      </c>
      <c r="I359" t="s">
        <v>140</v>
      </c>
      <c r="J359" s="22">
        <v>0.0176</v>
      </c>
      <c r="K359" s="22">
        <v>0</v>
      </c>
      <c r="L359" s="22">
        <v>0</v>
      </c>
      <c r="M359" s="22">
        <v>0.0176</v>
      </c>
      <c r="N359" s="22">
        <v>0.0176</v>
      </c>
      <c r="O359" s="22">
        <v>0</v>
      </c>
      <c r="P359" s="22">
        <v>0.0176</v>
      </c>
      <c r="Q359" s="22">
        <v>0.0176</v>
      </c>
      <c r="R359" s="22">
        <v>0.0176</v>
      </c>
      <c r="S359" s="22">
        <v>0.0176</v>
      </c>
      <c r="AJ359">
        <v>0</v>
      </c>
    </row>
    <row r="360" spans="1:36" x14ac:dyDescent="0.25">
      <c r="A360" t="s">
        <v>648</v>
      </c>
      <c r="B360" t="s">
        <v>24</v>
      </c>
      <c r="C360" t="s">
        <v>24</v>
      </c>
      <c r="D360" t="s">
        <v>215</v>
      </c>
      <c r="E360" t="s">
        <v>143</v>
      </c>
      <c r="F360" s="1" t="s">
        <v>649</v>
      </c>
      <c r="I360" t="s">
        <v>650</v>
      </c>
      <c r="J360" s="22">
        <v>0.5628</v>
      </c>
      <c r="K360" s="22">
        <v>0.65</v>
      </c>
      <c r="L360" s="22">
        <v>0.981</v>
      </c>
      <c r="M360" s="22">
        <v>0.5628</v>
      </c>
      <c r="N360" s="22">
        <v>0.5628</v>
      </c>
      <c r="O360" s="22">
        <v>0</v>
      </c>
      <c r="P360" s="22">
        <v>0.5628</v>
      </c>
      <c r="Q360" s="22">
        <v>0.5628</v>
      </c>
      <c r="R360" s="22">
        <v>0.5628</v>
      </c>
      <c r="S360" s="22">
        <v>0.5628</v>
      </c>
      <c r="AJ360">
        <v>0</v>
      </c>
    </row>
    <row r="361" spans="1:36" x14ac:dyDescent="0.25">
      <c r="A361" t="s">
        <v>648</v>
      </c>
      <c r="B361" t="s">
        <v>24</v>
      </c>
      <c r="C361" t="s">
        <v>24</v>
      </c>
      <c r="D361" t="s">
        <v>217</v>
      </c>
      <c r="E361" t="s">
        <v>26</v>
      </c>
      <c r="F361" s="1" t="s">
        <v>649</v>
      </c>
      <c r="I361" t="s">
        <v>651</v>
      </c>
      <c r="J361" s="22">
        <v>0.0142</v>
      </c>
      <c r="K361" s="22">
        <v>0</v>
      </c>
      <c r="L361" s="22">
        <v>0</v>
      </c>
      <c r="M361" s="22">
        <v>0.0142</v>
      </c>
      <c r="N361" s="22">
        <v>0.0142</v>
      </c>
      <c r="O361" s="22">
        <v>1</v>
      </c>
      <c r="P361" s="22">
        <v>0.0142</v>
      </c>
      <c r="Q361" s="22">
        <v>0.0142</v>
      </c>
      <c r="R361" s="22">
        <v>0.0142</v>
      </c>
      <c r="S361" s="22">
        <v>0.0142</v>
      </c>
      <c r="AJ361">
        <v>0</v>
      </c>
    </row>
    <row r="362" spans="1:36" x14ac:dyDescent="0.25">
      <c r="A362" t="s">
        <v>648</v>
      </c>
      <c r="B362" t="s">
        <v>24</v>
      </c>
      <c r="C362" t="s">
        <v>24</v>
      </c>
      <c r="D362" t="s">
        <v>652</v>
      </c>
      <c r="E362" t="s">
        <v>26</v>
      </c>
      <c r="F362" s="1" t="s">
        <v>649</v>
      </c>
      <c r="I362" t="s">
        <v>653</v>
      </c>
      <c r="J362" s="22">
        <v>0.0675</v>
      </c>
      <c r="K362" s="22">
        <v>0</v>
      </c>
      <c r="L362" s="22">
        <v>0</v>
      </c>
      <c r="M362" s="22">
        <v>0.0675</v>
      </c>
      <c r="N362" s="22">
        <v>0.0675</v>
      </c>
      <c r="O362" s="22">
        <v>0</v>
      </c>
      <c r="P362" s="22">
        <v>0.0675</v>
      </c>
      <c r="Q362" s="22">
        <v>0.0675</v>
      </c>
      <c r="R362" s="22">
        <v>0.0675</v>
      </c>
      <c r="S362" s="22">
        <v>0.0675</v>
      </c>
      <c r="AJ362">
        <v>0</v>
      </c>
    </row>
    <row r="363" spans="1:36" x14ac:dyDescent="0.25">
      <c r="A363" t="s">
        <v>648</v>
      </c>
      <c r="B363" t="s">
        <v>24</v>
      </c>
      <c r="C363" t="s">
        <v>24</v>
      </c>
      <c r="D363" t="s">
        <v>654</v>
      </c>
      <c r="E363" t="s">
        <v>54</v>
      </c>
      <c r="F363" s="1" t="s">
        <v>649</v>
      </c>
      <c r="I363" t="s">
        <v>655</v>
      </c>
      <c r="J363" s="22">
        <v>0.0003</v>
      </c>
      <c r="K363" s="22">
        <v>0</v>
      </c>
      <c r="L363" s="22">
        <v>0</v>
      </c>
      <c r="M363" s="22">
        <v>0.0003</v>
      </c>
      <c r="N363" s="22">
        <v>0.0003</v>
      </c>
      <c r="O363" s="22">
        <v>0</v>
      </c>
      <c r="P363" s="22">
        <v>0.0003</v>
      </c>
      <c r="Q363" s="22">
        <v>0.0003</v>
      </c>
      <c r="R363" s="22">
        <v>0.0003</v>
      </c>
      <c r="S363" s="22">
        <v>0.0003</v>
      </c>
      <c r="AJ363">
        <v>0</v>
      </c>
    </row>
    <row r="364" spans="1:36" x14ac:dyDescent="0.25">
      <c r="A364" t="s">
        <v>648</v>
      </c>
      <c r="B364" t="s">
        <v>24</v>
      </c>
      <c r="C364" t="s">
        <v>24</v>
      </c>
      <c r="D364" t="s">
        <v>656</v>
      </c>
      <c r="E364" t="s">
        <v>26</v>
      </c>
      <c r="F364" s="1" t="s">
        <v>649</v>
      </c>
      <c r="I364" t="s">
        <v>657</v>
      </c>
      <c r="J364" s="22">
        <v>0.2317</v>
      </c>
      <c r="K364" s="22">
        <v>0.35</v>
      </c>
      <c r="L364" s="22">
        <v>0.0186</v>
      </c>
      <c r="M364" s="22">
        <v>0.2317</v>
      </c>
      <c r="N364" s="22">
        <v>0.2317</v>
      </c>
      <c r="O364" s="22">
        <v>0</v>
      </c>
      <c r="P364" s="22">
        <v>0.2317</v>
      </c>
      <c r="Q364" s="22">
        <v>0.2317</v>
      </c>
      <c r="R364" s="22">
        <v>0.2317</v>
      </c>
      <c r="S364" s="22">
        <v>0.2317</v>
      </c>
      <c r="AJ364">
        <v>0</v>
      </c>
    </row>
    <row r="365" spans="1:36" x14ac:dyDescent="0.25">
      <c r="A365" t="s">
        <v>648</v>
      </c>
      <c r="B365" t="s">
        <v>24</v>
      </c>
      <c r="C365" t="s">
        <v>24</v>
      </c>
      <c r="D365" t="s">
        <v>418</v>
      </c>
      <c r="E365" t="s">
        <v>26</v>
      </c>
      <c r="F365" s="1" t="s">
        <v>649</v>
      </c>
      <c r="I365" t="s">
        <v>658</v>
      </c>
      <c r="J365" s="22">
        <v>0</v>
      </c>
      <c r="K365" s="22">
        <v>0</v>
      </c>
      <c r="L365" s="22">
        <v>0</v>
      </c>
      <c r="M365" s="22">
        <v>0</v>
      </c>
      <c r="N365" s="22">
        <v>0</v>
      </c>
      <c r="O365" s="22">
        <v>0</v>
      </c>
      <c r="P365" s="22">
        <v>0</v>
      </c>
      <c r="Q365" s="22">
        <v>0</v>
      </c>
      <c r="R365" s="22">
        <v>0</v>
      </c>
      <c r="S365" s="22">
        <v>0</v>
      </c>
      <c r="AJ365">
        <v>0</v>
      </c>
    </row>
    <row r="366" spans="1:36" x14ac:dyDescent="0.25">
      <c r="A366" t="s">
        <v>648</v>
      </c>
      <c r="B366" t="s">
        <v>24</v>
      </c>
      <c r="C366" t="s">
        <v>24</v>
      </c>
      <c r="D366" t="s">
        <v>659</v>
      </c>
      <c r="E366" t="s">
        <v>26</v>
      </c>
      <c r="F366" s="1" t="s">
        <v>649</v>
      </c>
      <c r="I366" t="s">
        <v>660</v>
      </c>
      <c r="J366" s="22">
        <v>0.0386</v>
      </c>
      <c r="K366" s="22">
        <v>0</v>
      </c>
      <c r="L366" s="22">
        <v>0.0004</v>
      </c>
      <c r="M366" s="22">
        <v>0.0386</v>
      </c>
      <c r="N366" s="22">
        <v>0.0386</v>
      </c>
      <c r="O366" s="22">
        <v>0</v>
      </c>
      <c r="P366" s="22">
        <v>0.0386</v>
      </c>
      <c r="Q366" s="22">
        <v>0.0386</v>
      </c>
      <c r="R366" s="22">
        <v>0.0386</v>
      </c>
      <c r="S366" s="22">
        <v>0.0386</v>
      </c>
      <c r="AJ366">
        <v>0</v>
      </c>
    </row>
    <row r="367" spans="1:36" x14ac:dyDescent="0.25">
      <c r="A367" t="s">
        <v>661</v>
      </c>
      <c r="B367" t="s">
        <v>24</v>
      </c>
      <c r="C367" t="s">
        <v>24</v>
      </c>
      <c r="D367" t="s">
        <v>25</v>
      </c>
      <c r="E367" t="s">
        <v>143</v>
      </c>
      <c r="F367" s="1" t="s">
        <v>662</v>
      </c>
      <c r="I367" t="s">
        <v>144</v>
      </c>
      <c r="J367" s="22">
        <v>0</v>
      </c>
      <c r="K367" s="22">
        <v>0</v>
      </c>
      <c r="L367" s="22">
        <v>0</v>
      </c>
      <c r="M367" s="22">
        <v>0</v>
      </c>
      <c r="N367" s="22">
        <v>0</v>
      </c>
      <c r="O367" s="22">
        <v>0</v>
      </c>
      <c r="P367" s="22">
        <v>0</v>
      </c>
      <c r="Q367" s="22">
        <v>0</v>
      </c>
      <c r="R367" s="22">
        <v>0</v>
      </c>
      <c r="S367" s="22">
        <v>0</v>
      </c>
      <c r="AJ367">
        <v>0</v>
      </c>
    </row>
    <row r="368" spans="1:36" x14ac:dyDescent="0.25">
      <c r="A368" t="s">
        <v>661</v>
      </c>
      <c r="B368" t="s">
        <v>24</v>
      </c>
      <c r="C368" t="s">
        <v>24</v>
      </c>
      <c r="D368" t="s">
        <v>25</v>
      </c>
      <c r="E368" t="s">
        <v>139</v>
      </c>
      <c r="F368" s="1" t="s">
        <v>662</v>
      </c>
      <c r="I368" t="s">
        <v>140</v>
      </c>
      <c r="J368" s="22">
        <v>0</v>
      </c>
      <c r="K368" s="22">
        <v>0</v>
      </c>
      <c r="L368" s="22">
        <v>0</v>
      </c>
      <c r="M368" s="22">
        <v>0</v>
      </c>
      <c r="N368" s="22">
        <v>0</v>
      </c>
      <c r="O368" s="22">
        <v>0</v>
      </c>
      <c r="P368" s="22">
        <v>0</v>
      </c>
      <c r="Q368" s="22">
        <v>0</v>
      </c>
      <c r="R368" s="22">
        <v>0</v>
      </c>
      <c r="S368" s="22">
        <v>0</v>
      </c>
      <c r="AJ368">
        <v>0</v>
      </c>
    </row>
    <row r="369" spans="1:36" x14ac:dyDescent="0.25">
      <c r="A369" t="s">
        <v>661</v>
      </c>
      <c r="B369" t="s">
        <v>24</v>
      </c>
      <c r="C369" t="s">
        <v>24</v>
      </c>
      <c r="D369" t="s">
        <v>215</v>
      </c>
      <c r="E369" t="s">
        <v>143</v>
      </c>
      <c r="F369" s="1" t="s">
        <v>662</v>
      </c>
      <c r="I369" t="s">
        <v>650</v>
      </c>
      <c r="J369" s="22">
        <v>0</v>
      </c>
      <c r="K369" s="22">
        <v>0</v>
      </c>
      <c r="L369" s="22">
        <v>0</v>
      </c>
      <c r="M369" s="22">
        <v>0</v>
      </c>
      <c r="N369" s="22">
        <v>0</v>
      </c>
      <c r="O369" s="22">
        <v>0</v>
      </c>
      <c r="P369" s="22">
        <v>0</v>
      </c>
      <c r="Q369" s="22">
        <v>0</v>
      </c>
      <c r="R369" s="22">
        <v>0</v>
      </c>
      <c r="S369" s="22">
        <v>0</v>
      </c>
      <c r="AJ369">
        <v>0</v>
      </c>
    </row>
    <row r="370" spans="1:36" x14ac:dyDescent="0.25">
      <c r="A370" t="s">
        <v>661</v>
      </c>
      <c r="B370" t="s">
        <v>24</v>
      </c>
      <c r="C370" t="s">
        <v>24</v>
      </c>
      <c r="D370" t="s">
        <v>217</v>
      </c>
      <c r="E370" t="s">
        <v>26</v>
      </c>
      <c r="F370" s="1" t="s">
        <v>662</v>
      </c>
      <c r="I370" t="s">
        <v>651</v>
      </c>
      <c r="J370" s="22">
        <v>0</v>
      </c>
      <c r="K370" s="22">
        <v>0</v>
      </c>
      <c r="L370" s="22">
        <v>0</v>
      </c>
      <c r="M370" s="22">
        <v>0</v>
      </c>
      <c r="N370" s="22">
        <v>0</v>
      </c>
      <c r="O370" s="22">
        <v>0</v>
      </c>
      <c r="P370" s="22">
        <v>0</v>
      </c>
      <c r="Q370" s="22">
        <v>0</v>
      </c>
      <c r="R370" s="22">
        <v>0</v>
      </c>
      <c r="S370" s="22">
        <v>0</v>
      </c>
      <c r="AJ370">
        <v>0</v>
      </c>
    </row>
    <row r="371" spans="1:36" x14ac:dyDescent="0.25">
      <c r="A371" t="s">
        <v>661</v>
      </c>
      <c r="B371" t="s">
        <v>24</v>
      </c>
      <c r="C371" t="s">
        <v>24</v>
      </c>
      <c r="D371" t="s">
        <v>652</v>
      </c>
      <c r="E371" t="s">
        <v>26</v>
      </c>
      <c r="F371" s="1" t="s">
        <v>662</v>
      </c>
      <c r="I371" t="s">
        <v>653</v>
      </c>
      <c r="J371" s="22">
        <v>0</v>
      </c>
      <c r="K371" s="22">
        <v>0</v>
      </c>
      <c r="L371" s="22">
        <v>0</v>
      </c>
      <c r="M371" s="22">
        <v>0</v>
      </c>
      <c r="N371" s="22">
        <v>0</v>
      </c>
      <c r="O371" s="22">
        <v>0</v>
      </c>
      <c r="P371" s="22">
        <v>0</v>
      </c>
      <c r="Q371" s="22">
        <v>0</v>
      </c>
      <c r="R371" s="22">
        <v>0</v>
      </c>
      <c r="S371" s="22">
        <v>0</v>
      </c>
      <c r="AJ371">
        <v>0</v>
      </c>
    </row>
    <row r="372" spans="1:36" x14ac:dyDescent="0.25">
      <c r="A372" t="s">
        <v>661</v>
      </c>
      <c r="B372" t="s">
        <v>24</v>
      </c>
      <c r="C372" t="s">
        <v>24</v>
      </c>
      <c r="D372" t="s">
        <v>654</v>
      </c>
      <c r="E372" t="s">
        <v>54</v>
      </c>
      <c r="F372" s="1" t="s">
        <v>662</v>
      </c>
      <c r="I372" t="s">
        <v>655</v>
      </c>
      <c r="J372" s="22">
        <v>0</v>
      </c>
      <c r="K372" s="22">
        <v>0</v>
      </c>
      <c r="L372" s="22">
        <v>0</v>
      </c>
      <c r="M372" s="22">
        <v>0</v>
      </c>
      <c r="N372" s="22">
        <v>0</v>
      </c>
      <c r="O372" s="22">
        <v>0</v>
      </c>
      <c r="P372" s="22">
        <v>0</v>
      </c>
      <c r="Q372" s="22">
        <v>0</v>
      </c>
      <c r="R372" s="22">
        <v>0</v>
      </c>
      <c r="S372" s="22">
        <v>0</v>
      </c>
      <c r="AJ372">
        <v>0</v>
      </c>
    </row>
    <row r="373" spans="1:36" x14ac:dyDescent="0.25">
      <c r="A373" t="s">
        <v>661</v>
      </c>
      <c r="B373" t="s">
        <v>24</v>
      </c>
      <c r="C373" t="s">
        <v>24</v>
      </c>
      <c r="D373" t="s">
        <v>656</v>
      </c>
      <c r="E373" t="s">
        <v>26</v>
      </c>
      <c r="F373" s="1" t="s">
        <v>662</v>
      </c>
      <c r="I373" t="s">
        <v>657</v>
      </c>
      <c r="J373" s="22">
        <v>1</v>
      </c>
      <c r="K373" s="22">
        <v>1</v>
      </c>
      <c r="L373" s="22">
        <v>1</v>
      </c>
      <c r="M373" s="22">
        <v>1</v>
      </c>
      <c r="N373" s="22">
        <v>1</v>
      </c>
      <c r="O373" s="22">
        <v>1</v>
      </c>
      <c r="P373" s="22">
        <v>1</v>
      </c>
      <c r="Q373" s="22">
        <v>1</v>
      </c>
      <c r="R373" s="22">
        <v>1</v>
      </c>
      <c r="S373" s="22">
        <v>1</v>
      </c>
      <c r="AJ373">
        <v>0</v>
      </c>
    </row>
    <row r="374" spans="1:36" x14ac:dyDescent="0.25">
      <c r="A374" t="s">
        <v>661</v>
      </c>
      <c r="B374" t="s">
        <v>24</v>
      </c>
      <c r="C374" t="s">
        <v>24</v>
      </c>
      <c r="D374" t="s">
        <v>418</v>
      </c>
      <c r="E374" t="s">
        <v>26</v>
      </c>
      <c r="F374" s="1" t="s">
        <v>662</v>
      </c>
      <c r="I374" t="s">
        <v>658</v>
      </c>
      <c r="J374" s="22">
        <v>0</v>
      </c>
      <c r="K374" s="22">
        <v>0</v>
      </c>
      <c r="L374" s="22">
        <v>0</v>
      </c>
      <c r="M374" s="22">
        <v>0</v>
      </c>
      <c r="N374" s="22">
        <v>0</v>
      </c>
      <c r="O374" s="22">
        <v>0</v>
      </c>
      <c r="P374" s="22">
        <v>0</v>
      </c>
      <c r="Q374" s="22">
        <v>0</v>
      </c>
      <c r="R374" s="22">
        <v>0</v>
      </c>
      <c r="S374" s="22">
        <v>0</v>
      </c>
      <c r="AJ374">
        <v>0</v>
      </c>
    </row>
    <row r="375" spans="1:36" x14ac:dyDescent="0.25">
      <c r="A375" t="s">
        <v>661</v>
      </c>
      <c r="B375" t="s">
        <v>24</v>
      </c>
      <c r="C375" t="s">
        <v>24</v>
      </c>
      <c r="D375" t="s">
        <v>663</v>
      </c>
      <c r="E375" t="s">
        <v>54</v>
      </c>
      <c r="F375" s="1" t="s">
        <v>662</v>
      </c>
      <c r="I375" t="s">
        <v>664</v>
      </c>
      <c r="J375" s="22">
        <v>0</v>
      </c>
      <c r="K375" s="22">
        <v>0</v>
      </c>
      <c r="L375" s="22">
        <v>0</v>
      </c>
      <c r="M375" s="22">
        <v>0</v>
      </c>
      <c r="N375" s="22">
        <v>0</v>
      </c>
      <c r="O375" s="22">
        <v>0</v>
      </c>
      <c r="P375" s="22">
        <v>0</v>
      </c>
      <c r="Q375" s="22">
        <v>0</v>
      </c>
      <c r="R375" s="22">
        <v>0</v>
      </c>
      <c r="S375" s="22">
        <v>0</v>
      </c>
      <c r="AJ375">
        <v>0</v>
      </c>
    </row>
    <row r="376" spans="1:36" x14ac:dyDescent="0.25">
      <c r="A376" t="s">
        <v>661</v>
      </c>
      <c r="B376" t="s">
        <v>24</v>
      </c>
      <c r="C376" t="s">
        <v>24</v>
      </c>
      <c r="D376" t="s">
        <v>659</v>
      </c>
      <c r="E376" t="s">
        <v>26</v>
      </c>
      <c r="F376" s="1" t="s">
        <v>662</v>
      </c>
      <c r="I376" t="s">
        <v>660</v>
      </c>
      <c r="J376" s="22">
        <v>0</v>
      </c>
      <c r="K376" s="22">
        <v>0</v>
      </c>
      <c r="L376" s="22">
        <v>0</v>
      </c>
      <c r="M376" s="22">
        <v>0</v>
      </c>
      <c r="N376" s="22">
        <v>0</v>
      </c>
      <c r="O376" s="22">
        <v>0</v>
      </c>
      <c r="P376" s="22">
        <v>0</v>
      </c>
      <c r="Q376" s="22">
        <v>0</v>
      </c>
      <c r="R376" s="22">
        <v>0</v>
      </c>
      <c r="S376" s="22">
        <v>0</v>
      </c>
      <c r="AJ376">
        <v>0</v>
      </c>
    </row>
    <row r="377" spans="1:36" x14ac:dyDescent="0.25">
      <c r="A377" t="s">
        <v>665</v>
      </c>
      <c r="B377" t="s">
        <v>24</v>
      </c>
      <c r="C377" t="s">
        <v>24</v>
      </c>
      <c r="D377" t="s">
        <v>25</v>
      </c>
      <c r="E377" t="s">
        <v>143</v>
      </c>
      <c r="F377" s="1" t="s">
        <v>666</v>
      </c>
      <c r="I377" t="s">
        <v>144</v>
      </c>
      <c r="J377" s="22">
        <v>0</v>
      </c>
      <c r="K377" s="22">
        <v>0</v>
      </c>
      <c r="L377" s="22">
        <v>0</v>
      </c>
      <c r="M377" s="22">
        <v>0</v>
      </c>
      <c r="N377" s="22">
        <v>0</v>
      </c>
      <c r="O377" s="22">
        <v>0</v>
      </c>
      <c r="P377" s="22">
        <v>0</v>
      </c>
      <c r="Q377" s="22">
        <v>0</v>
      </c>
      <c r="R377" s="22">
        <v>0</v>
      </c>
      <c r="S377" s="22">
        <v>0</v>
      </c>
      <c r="AJ377">
        <v>0</v>
      </c>
    </row>
    <row r="378" spans="1:36" x14ac:dyDescent="0.25">
      <c r="A378" t="s">
        <v>665</v>
      </c>
      <c r="B378" t="s">
        <v>24</v>
      </c>
      <c r="C378" t="s">
        <v>24</v>
      </c>
      <c r="D378" t="s">
        <v>25</v>
      </c>
      <c r="E378" t="s">
        <v>139</v>
      </c>
      <c r="F378" s="1" t="s">
        <v>666</v>
      </c>
      <c r="I378" t="s">
        <v>140</v>
      </c>
      <c r="J378" s="22">
        <v>0</v>
      </c>
      <c r="K378" s="22">
        <v>0</v>
      </c>
      <c r="L378" s="22">
        <v>0</v>
      </c>
      <c r="M378" s="22">
        <v>0</v>
      </c>
      <c r="N378" s="22">
        <v>0</v>
      </c>
      <c r="O378" s="22">
        <v>0</v>
      </c>
      <c r="P378" s="22">
        <v>0</v>
      </c>
      <c r="Q378" s="22">
        <v>0</v>
      </c>
      <c r="R378" s="22">
        <v>0</v>
      </c>
      <c r="S378" s="22">
        <v>0</v>
      </c>
      <c r="AJ378">
        <v>0</v>
      </c>
    </row>
    <row r="379" spans="1:36" x14ac:dyDescent="0.25">
      <c r="A379" t="s">
        <v>665</v>
      </c>
      <c r="B379" t="s">
        <v>24</v>
      </c>
      <c r="C379" t="s">
        <v>24</v>
      </c>
      <c r="D379" t="s">
        <v>215</v>
      </c>
      <c r="E379" t="s">
        <v>143</v>
      </c>
      <c r="F379" s="1" t="s">
        <v>666</v>
      </c>
      <c r="I379" t="s">
        <v>650</v>
      </c>
      <c r="J379" s="22">
        <v>0</v>
      </c>
      <c r="K379" s="22">
        <v>0</v>
      </c>
      <c r="L379" s="22">
        <v>0</v>
      </c>
      <c r="M379" s="22">
        <v>0</v>
      </c>
      <c r="N379" s="22">
        <v>0</v>
      </c>
      <c r="O379" s="22">
        <v>0</v>
      </c>
      <c r="P379" s="22">
        <v>0</v>
      </c>
      <c r="Q379" s="22">
        <v>0</v>
      </c>
      <c r="R379" s="22">
        <v>0</v>
      </c>
      <c r="S379" s="22">
        <v>0</v>
      </c>
      <c r="AJ379">
        <v>0</v>
      </c>
    </row>
    <row r="380" spans="1:36" x14ac:dyDescent="0.25">
      <c r="A380" t="s">
        <v>665</v>
      </c>
      <c r="B380" t="s">
        <v>24</v>
      </c>
      <c r="C380" t="s">
        <v>24</v>
      </c>
      <c r="D380" t="s">
        <v>217</v>
      </c>
      <c r="E380" t="s">
        <v>26</v>
      </c>
      <c r="F380" s="1" t="s">
        <v>666</v>
      </c>
      <c r="I380" t="s">
        <v>651</v>
      </c>
      <c r="J380" s="22">
        <v>0</v>
      </c>
      <c r="K380" s="22">
        <v>0</v>
      </c>
      <c r="L380" s="22">
        <v>0</v>
      </c>
      <c r="M380" s="22">
        <v>0</v>
      </c>
      <c r="N380" s="22">
        <v>0</v>
      </c>
      <c r="O380" s="22">
        <v>0</v>
      </c>
      <c r="P380" s="22">
        <v>0</v>
      </c>
      <c r="Q380" s="22">
        <v>0</v>
      </c>
      <c r="R380" s="22">
        <v>0</v>
      </c>
      <c r="S380" s="22">
        <v>0</v>
      </c>
      <c r="AJ380">
        <v>0</v>
      </c>
    </row>
    <row r="381" spans="1:36" x14ac:dyDescent="0.25">
      <c r="A381" t="s">
        <v>665</v>
      </c>
      <c r="B381" t="s">
        <v>24</v>
      </c>
      <c r="C381" t="s">
        <v>24</v>
      </c>
      <c r="D381" t="s">
        <v>652</v>
      </c>
      <c r="E381" t="s">
        <v>26</v>
      </c>
      <c r="F381" s="1" t="s">
        <v>666</v>
      </c>
      <c r="I381" t="s">
        <v>653</v>
      </c>
      <c r="J381" s="22">
        <v>0</v>
      </c>
      <c r="K381" s="22">
        <v>0</v>
      </c>
      <c r="L381" s="22">
        <v>0</v>
      </c>
      <c r="M381" s="22">
        <v>0</v>
      </c>
      <c r="N381" s="22">
        <v>0</v>
      </c>
      <c r="O381" s="22">
        <v>0</v>
      </c>
      <c r="P381" s="22">
        <v>0</v>
      </c>
      <c r="Q381" s="22">
        <v>0</v>
      </c>
      <c r="R381" s="22">
        <v>0</v>
      </c>
      <c r="S381" s="22">
        <v>0</v>
      </c>
      <c r="AJ381">
        <v>0</v>
      </c>
    </row>
    <row r="382" spans="1:36" x14ac:dyDescent="0.25">
      <c r="A382" t="s">
        <v>665</v>
      </c>
      <c r="B382" t="s">
        <v>24</v>
      </c>
      <c r="C382" t="s">
        <v>24</v>
      </c>
      <c r="D382" t="s">
        <v>654</v>
      </c>
      <c r="E382" t="s">
        <v>54</v>
      </c>
      <c r="F382" s="1" t="s">
        <v>666</v>
      </c>
      <c r="I382" t="s">
        <v>655</v>
      </c>
      <c r="J382" s="22">
        <v>0</v>
      </c>
      <c r="K382" s="22">
        <v>0</v>
      </c>
      <c r="L382" s="22">
        <v>0</v>
      </c>
      <c r="M382" s="22">
        <v>0</v>
      </c>
      <c r="N382" s="22">
        <v>0</v>
      </c>
      <c r="O382" s="22">
        <v>0</v>
      </c>
      <c r="P382" s="22">
        <v>0</v>
      </c>
      <c r="Q382" s="22">
        <v>0</v>
      </c>
      <c r="R382" s="22">
        <v>0</v>
      </c>
      <c r="S382" s="22">
        <v>0</v>
      </c>
      <c r="AJ382">
        <v>0</v>
      </c>
    </row>
    <row r="383" spans="1:36" x14ac:dyDescent="0.25">
      <c r="A383" t="s">
        <v>665</v>
      </c>
      <c r="B383" t="s">
        <v>24</v>
      </c>
      <c r="C383" t="s">
        <v>24</v>
      </c>
      <c r="D383" t="s">
        <v>656</v>
      </c>
      <c r="E383" t="s">
        <v>26</v>
      </c>
      <c r="F383" s="1" t="s">
        <v>666</v>
      </c>
      <c r="I383" t="s">
        <v>657</v>
      </c>
      <c r="J383" s="22">
        <v>0</v>
      </c>
      <c r="K383" s="22">
        <v>0</v>
      </c>
      <c r="L383" s="22">
        <v>0</v>
      </c>
      <c r="M383" s="22">
        <v>0</v>
      </c>
      <c r="N383" s="22">
        <v>0</v>
      </c>
      <c r="O383" s="22">
        <v>0</v>
      </c>
      <c r="P383" s="22">
        <v>0</v>
      </c>
      <c r="Q383" s="22">
        <v>0</v>
      </c>
      <c r="R383" s="22">
        <v>0</v>
      </c>
      <c r="S383" s="22">
        <v>0</v>
      </c>
      <c r="AJ383">
        <v>0</v>
      </c>
    </row>
    <row r="384" spans="1:36" x14ac:dyDescent="0.25">
      <c r="A384" t="s">
        <v>665</v>
      </c>
      <c r="B384" t="s">
        <v>24</v>
      </c>
      <c r="C384" t="s">
        <v>24</v>
      </c>
      <c r="D384" t="s">
        <v>418</v>
      </c>
      <c r="E384" t="s">
        <v>26</v>
      </c>
      <c r="F384" s="1" t="s">
        <v>666</v>
      </c>
      <c r="I384" t="s">
        <v>658</v>
      </c>
      <c r="J384" s="22">
        <v>0</v>
      </c>
      <c r="K384" s="22">
        <v>0</v>
      </c>
      <c r="L384" s="22">
        <v>0</v>
      </c>
      <c r="M384" s="22">
        <v>0</v>
      </c>
      <c r="N384" s="22">
        <v>0</v>
      </c>
      <c r="O384" s="22">
        <v>0</v>
      </c>
      <c r="P384" s="22">
        <v>0</v>
      </c>
      <c r="Q384" s="22">
        <v>0</v>
      </c>
      <c r="R384" s="22">
        <v>0</v>
      </c>
      <c r="S384" s="22">
        <v>0</v>
      </c>
      <c r="AJ384">
        <v>0</v>
      </c>
    </row>
    <row r="385" spans="1:36" x14ac:dyDescent="0.25">
      <c r="A385" t="s">
        <v>665</v>
      </c>
      <c r="B385" t="s">
        <v>24</v>
      </c>
      <c r="C385" t="s">
        <v>24</v>
      </c>
      <c r="D385" t="s">
        <v>663</v>
      </c>
      <c r="E385" t="s">
        <v>54</v>
      </c>
      <c r="F385" s="1" t="s">
        <v>666</v>
      </c>
      <c r="I385" t="s">
        <v>664</v>
      </c>
      <c r="J385" s="22">
        <v>0</v>
      </c>
      <c r="K385" s="22">
        <v>0</v>
      </c>
      <c r="L385" s="22">
        <v>0</v>
      </c>
      <c r="M385" s="22">
        <v>0</v>
      </c>
      <c r="N385" s="22">
        <v>0</v>
      </c>
      <c r="O385" s="22">
        <v>0</v>
      </c>
      <c r="P385" s="22">
        <v>0</v>
      </c>
      <c r="Q385" s="22">
        <v>0</v>
      </c>
      <c r="R385" s="22">
        <v>0</v>
      </c>
      <c r="S385" s="22">
        <v>0</v>
      </c>
      <c r="AJ385">
        <v>0</v>
      </c>
    </row>
    <row r="386" spans="1:36" x14ac:dyDescent="0.25">
      <c r="A386" t="s">
        <v>665</v>
      </c>
      <c r="B386" t="s">
        <v>24</v>
      </c>
      <c r="C386" t="s">
        <v>24</v>
      </c>
      <c r="D386" t="s">
        <v>659</v>
      </c>
      <c r="E386" t="s">
        <v>26</v>
      </c>
      <c r="F386" s="1" t="s">
        <v>666</v>
      </c>
      <c r="I386" t="s">
        <v>660</v>
      </c>
      <c r="J386" s="22">
        <v>1</v>
      </c>
      <c r="K386" s="22">
        <v>1</v>
      </c>
      <c r="L386" s="22">
        <v>1</v>
      </c>
      <c r="M386" s="22">
        <v>1</v>
      </c>
      <c r="N386" s="22">
        <v>1</v>
      </c>
      <c r="O386" s="22">
        <v>1</v>
      </c>
      <c r="P386" s="22">
        <v>1</v>
      </c>
      <c r="Q386" s="22">
        <v>1</v>
      </c>
      <c r="R386" s="22">
        <v>1</v>
      </c>
      <c r="S386" s="22">
        <v>1</v>
      </c>
      <c r="AJ386">
        <v>0</v>
      </c>
    </row>
    <row r="387" spans="1:36" x14ac:dyDescent="0.25">
      <c r="A387" t="s">
        <v>667</v>
      </c>
      <c r="B387" t="s">
        <v>24</v>
      </c>
      <c r="C387" t="s">
        <v>24</v>
      </c>
      <c r="D387" t="s">
        <v>25</v>
      </c>
      <c r="E387" t="s">
        <v>143</v>
      </c>
      <c r="F387" s="1" t="s">
        <v>668</v>
      </c>
      <c r="I387" t="s">
        <v>144</v>
      </c>
      <c r="J387" s="22">
        <v>0</v>
      </c>
      <c r="K387" s="22">
        <v>0</v>
      </c>
      <c r="L387" s="22">
        <v>0</v>
      </c>
      <c r="M387" s="22">
        <v>0</v>
      </c>
      <c r="N387" s="22">
        <v>0</v>
      </c>
      <c r="O387" s="22">
        <v>0</v>
      </c>
      <c r="P387" s="22">
        <v>0</v>
      </c>
      <c r="Q387" s="22">
        <v>0</v>
      </c>
      <c r="R387" s="22">
        <v>0</v>
      </c>
      <c r="S387" s="22">
        <v>0</v>
      </c>
      <c r="AJ387">
        <v>0</v>
      </c>
    </row>
    <row r="388" spans="1:36" x14ac:dyDescent="0.25">
      <c r="A388" t="s">
        <v>667</v>
      </c>
      <c r="B388" t="s">
        <v>24</v>
      </c>
      <c r="C388" t="s">
        <v>24</v>
      </c>
      <c r="D388" t="s">
        <v>25</v>
      </c>
      <c r="E388" t="s">
        <v>139</v>
      </c>
      <c r="F388" s="1" t="s">
        <v>668</v>
      </c>
      <c r="I388" t="s">
        <v>140</v>
      </c>
      <c r="J388" s="22">
        <v>0</v>
      </c>
      <c r="K388" s="22">
        <v>0</v>
      </c>
      <c r="L388" s="22">
        <v>0</v>
      </c>
      <c r="M388" s="22">
        <v>0</v>
      </c>
      <c r="N388" s="22">
        <v>0</v>
      </c>
      <c r="O388" s="22">
        <v>0</v>
      </c>
      <c r="P388" s="22">
        <v>0</v>
      </c>
      <c r="Q388" s="22">
        <v>0</v>
      </c>
      <c r="R388" s="22">
        <v>0</v>
      </c>
      <c r="S388" s="22">
        <v>0</v>
      </c>
      <c r="AJ388">
        <v>0</v>
      </c>
    </row>
    <row r="389" spans="1:36" x14ac:dyDescent="0.25">
      <c r="A389" t="s">
        <v>667</v>
      </c>
      <c r="B389" t="s">
        <v>24</v>
      </c>
      <c r="C389" t="s">
        <v>24</v>
      </c>
      <c r="D389" t="s">
        <v>215</v>
      </c>
      <c r="E389" t="s">
        <v>143</v>
      </c>
      <c r="F389" s="1" t="s">
        <v>668</v>
      </c>
      <c r="I389" t="s">
        <v>650</v>
      </c>
      <c r="J389" s="22">
        <v>1</v>
      </c>
      <c r="K389" s="22">
        <v>1</v>
      </c>
      <c r="L389" s="22">
        <v>1</v>
      </c>
      <c r="M389" s="22">
        <v>1</v>
      </c>
      <c r="N389" s="22">
        <v>1</v>
      </c>
      <c r="O389" s="22">
        <v>1</v>
      </c>
      <c r="P389" s="22">
        <v>1</v>
      </c>
      <c r="Q389" s="22">
        <v>1</v>
      </c>
      <c r="R389" s="22">
        <v>1</v>
      </c>
      <c r="S389" s="22">
        <v>1</v>
      </c>
      <c r="AJ389">
        <v>0</v>
      </c>
    </row>
    <row r="390" spans="1:36" x14ac:dyDescent="0.25">
      <c r="A390" t="s">
        <v>667</v>
      </c>
      <c r="B390" t="s">
        <v>24</v>
      </c>
      <c r="C390" t="s">
        <v>24</v>
      </c>
      <c r="D390" t="s">
        <v>217</v>
      </c>
      <c r="E390" t="s">
        <v>26</v>
      </c>
      <c r="F390" s="1" t="s">
        <v>668</v>
      </c>
      <c r="I390" t="s">
        <v>651</v>
      </c>
      <c r="J390" s="22">
        <v>0</v>
      </c>
      <c r="K390" s="22">
        <v>0</v>
      </c>
      <c r="L390" s="22">
        <v>0</v>
      </c>
      <c r="M390" s="22">
        <v>0</v>
      </c>
      <c r="N390" s="22">
        <v>0</v>
      </c>
      <c r="O390" s="22">
        <v>0</v>
      </c>
      <c r="P390" s="22">
        <v>0</v>
      </c>
      <c r="Q390" s="22">
        <v>0</v>
      </c>
      <c r="R390" s="22">
        <v>0</v>
      </c>
      <c r="S390" s="22">
        <v>0</v>
      </c>
      <c r="AJ390">
        <v>0</v>
      </c>
    </row>
    <row r="391" spans="1:36" x14ac:dyDescent="0.25">
      <c r="A391" t="s">
        <v>667</v>
      </c>
      <c r="B391" t="s">
        <v>24</v>
      </c>
      <c r="C391" t="s">
        <v>24</v>
      </c>
      <c r="D391" t="s">
        <v>652</v>
      </c>
      <c r="E391" t="s">
        <v>26</v>
      </c>
      <c r="F391" s="1" t="s">
        <v>668</v>
      </c>
      <c r="I391" t="s">
        <v>653</v>
      </c>
      <c r="J391" s="22">
        <v>0</v>
      </c>
      <c r="K391" s="22">
        <v>0</v>
      </c>
      <c r="L391" s="22">
        <v>0</v>
      </c>
      <c r="M391" s="22">
        <v>0</v>
      </c>
      <c r="N391" s="22">
        <v>0</v>
      </c>
      <c r="O391" s="22">
        <v>0</v>
      </c>
      <c r="P391" s="22">
        <v>0</v>
      </c>
      <c r="Q391" s="22">
        <v>0</v>
      </c>
      <c r="R391" s="22">
        <v>0</v>
      </c>
      <c r="S391" s="22">
        <v>0</v>
      </c>
      <c r="AJ391">
        <v>0</v>
      </c>
    </row>
    <row r="392" spans="1:36" x14ac:dyDescent="0.25">
      <c r="A392" t="s">
        <v>667</v>
      </c>
      <c r="B392" t="s">
        <v>24</v>
      </c>
      <c r="C392" t="s">
        <v>24</v>
      </c>
      <c r="D392" t="s">
        <v>654</v>
      </c>
      <c r="E392" t="s">
        <v>54</v>
      </c>
      <c r="F392" s="1" t="s">
        <v>668</v>
      </c>
      <c r="I392" t="s">
        <v>655</v>
      </c>
      <c r="J392" s="22">
        <v>0</v>
      </c>
      <c r="K392" s="22">
        <v>0</v>
      </c>
      <c r="L392" s="22">
        <v>0</v>
      </c>
      <c r="M392" s="22">
        <v>0</v>
      </c>
      <c r="N392" s="22">
        <v>0</v>
      </c>
      <c r="O392" s="22">
        <v>0</v>
      </c>
      <c r="P392" s="22">
        <v>0</v>
      </c>
      <c r="Q392" s="22">
        <v>0</v>
      </c>
      <c r="R392" s="22">
        <v>0</v>
      </c>
      <c r="S392" s="22">
        <v>0</v>
      </c>
      <c r="AJ392">
        <v>0</v>
      </c>
    </row>
    <row r="393" spans="1:36" x14ac:dyDescent="0.25">
      <c r="A393" t="s">
        <v>667</v>
      </c>
      <c r="B393" t="s">
        <v>24</v>
      </c>
      <c r="C393" t="s">
        <v>24</v>
      </c>
      <c r="D393" t="s">
        <v>656</v>
      </c>
      <c r="E393" t="s">
        <v>26</v>
      </c>
      <c r="F393" s="1" t="s">
        <v>668</v>
      </c>
      <c r="I393" t="s">
        <v>657</v>
      </c>
      <c r="J393" s="22">
        <v>0</v>
      </c>
      <c r="K393" s="22">
        <v>0</v>
      </c>
      <c r="L393" s="22">
        <v>0</v>
      </c>
      <c r="M393" s="22">
        <v>0</v>
      </c>
      <c r="N393" s="22">
        <v>0</v>
      </c>
      <c r="O393" s="22">
        <v>0</v>
      </c>
      <c r="P393" s="22">
        <v>0</v>
      </c>
      <c r="Q393" s="22">
        <v>0</v>
      </c>
      <c r="R393" s="22">
        <v>0</v>
      </c>
      <c r="S393" s="22">
        <v>0</v>
      </c>
      <c r="AJ393">
        <v>0</v>
      </c>
    </row>
    <row r="394" spans="1:36" x14ac:dyDescent="0.25">
      <c r="A394" t="s">
        <v>667</v>
      </c>
      <c r="B394" t="s">
        <v>24</v>
      </c>
      <c r="C394" t="s">
        <v>24</v>
      </c>
      <c r="D394" t="s">
        <v>418</v>
      </c>
      <c r="E394" t="s">
        <v>26</v>
      </c>
      <c r="F394" s="1" t="s">
        <v>668</v>
      </c>
      <c r="I394" t="s">
        <v>658</v>
      </c>
      <c r="J394" s="22">
        <v>0</v>
      </c>
      <c r="K394" s="22">
        <v>0</v>
      </c>
      <c r="L394" s="22">
        <v>0</v>
      </c>
      <c r="M394" s="22">
        <v>0</v>
      </c>
      <c r="N394" s="22">
        <v>0</v>
      </c>
      <c r="O394" s="22">
        <v>0</v>
      </c>
      <c r="P394" s="22">
        <v>0</v>
      </c>
      <c r="Q394" s="22">
        <v>0</v>
      </c>
      <c r="R394" s="22">
        <v>0</v>
      </c>
      <c r="S394" s="22">
        <v>0</v>
      </c>
      <c r="AJ394">
        <v>0</v>
      </c>
    </row>
    <row r="395" spans="1:36" x14ac:dyDescent="0.25">
      <c r="A395" t="s">
        <v>667</v>
      </c>
      <c r="B395" t="s">
        <v>24</v>
      </c>
      <c r="C395" t="s">
        <v>24</v>
      </c>
      <c r="D395" t="s">
        <v>663</v>
      </c>
      <c r="E395" t="s">
        <v>54</v>
      </c>
      <c r="F395" s="1" t="s">
        <v>668</v>
      </c>
      <c r="I395" t="s">
        <v>664</v>
      </c>
      <c r="J395" s="22">
        <v>0</v>
      </c>
      <c r="K395" s="22">
        <v>0</v>
      </c>
      <c r="L395" s="22">
        <v>0</v>
      </c>
      <c r="M395" s="22">
        <v>0</v>
      </c>
      <c r="N395" s="22">
        <v>0</v>
      </c>
      <c r="O395" s="22">
        <v>0</v>
      </c>
      <c r="P395" s="22">
        <v>0</v>
      </c>
      <c r="Q395" s="22">
        <v>0</v>
      </c>
      <c r="R395" s="22">
        <v>0</v>
      </c>
      <c r="S395" s="22">
        <v>0</v>
      </c>
      <c r="AJ395">
        <v>0</v>
      </c>
    </row>
    <row r="396" spans="1:36" x14ac:dyDescent="0.25">
      <c r="A396" t="s">
        <v>667</v>
      </c>
      <c r="B396" t="s">
        <v>24</v>
      </c>
      <c r="C396" t="s">
        <v>24</v>
      </c>
      <c r="D396" t="s">
        <v>659</v>
      </c>
      <c r="E396" t="s">
        <v>26</v>
      </c>
      <c r="F396" s="1" t="s">
        <v>668</v>
      </c>
      <c r="I396" t="s">
        <v>660</v>
      </c>
      <c r="J396" s="22">
        <v>0</v>
      </c>
      <c r="K396" s="22">
        <v>0</v>
      </c>
      <c r="L396" s="22">
        <v>0</v>
      </c>
      <c r="M396" s="22">
        <v>0</v>
      </c>
      <c r="N396" s="22">
        <v>0</v>
      </c>
      <c r="O396" s="22">
        <v>0</v>
      </c>
      <c r="P396" s="22">
        <v>0</v>
      </c>
      <c r="Q396" s="22">
        <v>0</v>
      </c>
      <c r="R396" s="22">
        <v>0</v>
      </c>
      <c r="S396" s="22">
        <v>0</v>
      </c>
      <c r="AJ396">
        <v>0</v>
      </c>
    </row>
    <row r="397" spans="1:36" x14ac:dyDescent="0.25">
      <c r="A397" t="s">
        <v>578</v>
      </c>
      <c r="B397" t="s">
        <v>24</v>
      </c>
      <c r="C397" t="s">
        <v>24</v>
      </c>
      <c r="D397" t="s">
        <v>25</v>
      </c>
      <c r="E397" t="s">
        <v>143</v>
      </c>
      <c r="F397" s="1" t="s">
        <v>669</v>
      </c>
      <c r="I397" t="s">
        <v>144</v>
      </c>
      <c r="J397" s="22">
        <v>0.0895</v>
      </c>
      <c r="K397" s="22">
        <v>0</v>
      </c>
      <c r="L397" s="22">
        <v>0</v>
      </c>
      <c r="M397" s="22">
        <v>0.0895</v>
      </c>
      <c r="N397" s="22">
        <v>0.0895</v>
      </c>
      <c r="O397" s="22">
        <v>0.0895</v>
      </c>
      <c r="P397" s="22">
        <v>0.0895</v>
      </c>
      <c r="Q397" s="22">
        <v>0.0895</v>
      </c>
      <c r="R397" s="22">
        <v>0.0895</v>
      </c>
      <c r="S397" s="22">
        <v>0.0895</v>
      </c>
      <c r="AJ397">
        <v>0</v>
      </c>
    </row>
    <row r="398" spans="1:36" x14ac:dyDescent="0.25">
      <c r="A398" t="s">
        <v>578</v>
      </c>
      <c r="B398" t="s">
        <v>24</v>
      </c>
      <c r="C398" t="s">
        <v>24</v>
      </c>
      <c r="D398" t="s">
        <v>25</v>
      </c>
      <c r="E398" t="s">
        <v>139</v>
      </c>
      <c r="F398" s="1" t="s">
        <v>669</v>
      </c>
      <c r="I398" t="s">
        <v>140</v>
      </c>
      <c r="J398" s="22">
        <v>0.0221</v>
      </c>
      <c r="K398" s="22">
        <v>0</v>
      </c>
      <c r="L398" s="22">
        <v>0</v>
      </c>
      <c r="M398" s="22">
        <v>0.0221</v>
      </c>
      <c r="N398" s="22">
        <v>0.0221</v>
      </c>
      <c r="O398" s="22">
        <v>0.0221</v>
      </c>
      <c r="P398" s="22">
        <v>0.0221</v>
      </c>
      <c r="Q398" s="22">
        <v>0.0221</v>
      </c>
      <c r="R398" s="22">
        <v>0.0221</v>
      </c>
      <c r="S398" s="22">
        <v>0.0221</v>
      </c>
      <c r="AJ398">
        <v>0</v>
      </c>
    </row>
    <row r="399" spans="1:36" x14ac:dyDescent="0.25">
      <c r="A399" t="s">
        <v>578</v>
      </c>
      <c r="B399" t="s">
        <v>24</v>
      </c>
      <c r="C399" t="s">
        <v>24</v>
      </c>
      <c r="D399" t="s">
        <v>215</v>
      </c>
      <c r="E399" t="s">
        <v>143</v>
      </c>
      <c r="F399" s="1" t="s">
        <v>669</v>
      </c>
      <c r="I399" t="s">
        <v>650</v>
      </c>
      <c r="J399" s="22">
        <v>0.582</v>
      </c>
      <c r="K399" s="22">
        <v>0.65</v>
      </c>
      <c r="L399" s="22">
        <v>0.98</v>
      </c>
      <c r="M399" s="22">
        <v>0.582</v>
      </c>
      <c r="N399" s="22">
        <v>0.582</v>
      </c>
      <c r="O399" s="22">
        <v>0.582</v>
      </c>
      <c r="P399" s="22">
        <v>0.582</v>
      </c>
      <c r="Q399" s="22">
        <v>0.582</v>
      </c>
      <c r="R399" s="22">
        <v>0.582</v>
      </c>
      <c r="S399" s="22">
        <v>0.582</v>
      </c>
      <c r="AJ399">
        <v>0</v>
      </c>
    </row>
    <row r="400" spans="1:36" x14ac:dyDescent="0.25">
      <c r="A400" t="s">
        <v>578</v>
      </c>
      <c r="B400" t="s">
        <v>24</v>
      </c>
      <c r="C400" t="s">
        <v>24</v>
      </c>
      <c r="D400" t="s">
        <v>217</v>
      </c>
      <c r="E400" t="s">
        <v>26</v>
      </c>
      <c r="F400" s="1" t="s">
        <v>669</v>
      </c>
      <c r="I400" t="s">
        <v>651</v>
      </c>
      <c r="J400" s="22">
        <v>0.0069</v>
      </c>
      <c r="K400" s="22">
        <v>0</v>
      </c>
      <c r="L400" s="22">
        <v>0</v>
      </c>
      <c r="M400" s="22">
        <v>0.0069</v>
      </c>
      <c r="N400" s="22">
        <v>0.0069</v>
      </c>
      <c r="O400" s="22">
        <v>0.0069</v>
      </c>
      <c r="P400" s="22">
        <v>0.0069</v>
      </c>
      <c r="Q400" s="22">
        <v>0.0069</v>
      </c>
      <c r="R400">
        <v>0.0069</v>
      </c>
      <c r="S400">
        <v>0.0069</v>
      </c>
      <c r="AJ400">
        <v>0</v>
      </c>
    </row>
    <row r="401" spans="1:36" x14ac:dyDescent="0.25">
      <c r="A401" t="s">
        <v>578</v>
      </c>
      <c r="B401" t="s">
        <v>24</v>
      </c>
      <c r="C401" t="s">
        <v>24</v>
      </c>
      <c r="D401" t="s">
        <v>652</v>
      </c>
      <c r="E401" t="s">
        <v>26</v>
      </c>
      <c r="F401" s="1" t="s">
        <v>669</v>
      </c>
      <c r="I401" t="s">
        <v>653</v>
      </c>
      <c r="J401" s="22">
        <v>0.0574</v>
      </c>
      <c r="K401" s="22">
        <v>0</v>
      </c>
      <c r="L401" s="22">
        <v>0</v>
      </c>
      <c r="M401" s="22">
        <v>0.0574</v>
      </c>
      <c r="N401" s="22">
        <v>0.0574</v>
      </c>
      <c r="O401" s="22">
        <v>0.0574</v>
      </c>
      <c r="P401" s="22">
        <v>0.0574</v>
      </c>
      <c r="Q401" s="22">
        <v>0.0574</v>
      </c>
      <c r="R401">
        <v>0.0574</v>
      </c>
      <c r="S401">
        <v>0.0574</v>
      </c>
      <c r="AJ401">
        <v>0</v>
      </c>
    </row>
    <row r="402" spans="1:36" x14ac:dyDescent="0.25">
      <c r="A402" t="s">
        <v>578</v>
      </c>
      <c r="B402" t="s">
        <v>24</v>
      </c>
      <c r="C402" t="s">
        <v>24</v>
      </c>
      <c r="D402" t="s">
        <v>654</v>
      </c>
      <c r="E402" t="s">
        <v>54</v>
      </c>
      <c r="F402" s="1" t="s">
        <v>669</v>
      </c>
      <c r="I402" t="s">
        <v>655</v>
      </c>
      <c r="J402" s="22">
        <v>0.0001</v>
      </c>
      <c r="K402" s="22">
        <v>0</v>
      </c>
      <c r="L402" s="22">
        <v>0</v>
      </c>
      <c r="M402" s="22">
        <v>0.0001</v>
      </c>
      <c r="N402" s="22">
        <v>0.0001</v>
      </c>
      <c r="O402" s="22">
        <v>0.0001</v>
      </c>
      <c r="P402" s="22">
        <v>0.0001</v>
      </c>
      <c r="Q402" s="22">
        <v>0.0001</v>
      </c>
      <c r="R402">
        <v>0.0001</v>
      </c>
      <c r="S402">
        <v>0.0001</v>
      </c>
      <c r="AJ402">
        <v>0</v>
      </c>
    </row>
    <row r="403" spans="1:36" x14ac:dyDescent="0.25">
      <c r="A403" t="s">
        <v>578</v>
      </c>
      <c r="B403" t="s">
        <v>24</v>
      </c>
      <c r="C403" t="s">
        <v>24</v>
      </c>
      <c r="D403" t="s">
        <v>656</v>
      </c>
      <c r="E403" t="s">
        <v>26</v>
      </c>
      <c r="F403" s="1" t="s">
        <v>669</v>
      </c>
      <c r="I403" t="s">
        <v>657</v>
      </c>
      <c r="J403" s="22">
        <v>0.2009</v>
      </c>
      <c r="K403" s="22">
        <v>0.35</v>
      </c>
      <c r="L403" s="22">
        <v>0.02</v>
      </c>
      <c r="M403" s="22">
        <v>0.2009</v>
      </c>
      <c r="N403" s="22">
        <v>0.2009</v>
      </c>
      <c r="O403" s="22">
        <v>0.2009</v>
      </c>
      <c r="P403" s="22">
        <v>0.2009</v>
      </c>
      <c r="Q403" s="22">
        <v>0.2009</v>
      </c>
      <c r="R403">
        <v>0.2009</v>
      </c>
      <c r="S403">
        <v>0.2009</v>
      </c>
      <c r="AJ403">
        <v>0</v>
      </c>
    </row>
    <row r="404" spans="1:36" x14ac:dyDescent="0.25">
      <c r="A404" t="s">
        <v>578</v>
      </c>
      <c r="B404" t="s">
        <v>24</v>
      </c>
      <c r="C404" t="s">
        <v>24</v>
      </c>
      <c r="D404" t="s">
        <v>418</v>
      </c>
      <c r="E404" t="s">
        <v>26</v>
      </c>
      <c r="F404" s="1" t="s">
        <v>669</v>
      </c>
      <c r="I404" t="s">
        <v>658</v>
      </c>
      <c r="J404" s="22">
        <v>0</v>
      </c>
      <c r="K404" s="22">
        <v>0</v>
      </c>
      <c r="L404" s="22">
        <v>0</v>
      </c>
      <c r="M404" s="22">
        <v>0</v>
      </c>
      <c r="N404" s="22">
        <v>0</v>
      </c>
      <c r="O404" s="22">
        <v>0</v>
      </c>
      <c r="P404" s="22">
        <v>0</v>
      </c>
      <c r="Q404" s="22">
        <v>0</v>
      </c>
      <c r="R404">
        <v>0</v>
      </c>
      <c r="S404">
        <v>0</v>
      </c>
      <c r="AJ404">
        <v>0</v>
      </c>
    </row>
    <row r="405" spans="1:36" x14ac:dyDescent="0.25">
      <c r="A405" t="s">
        <v>578</v>
      </c>
      <c r="B405" t="s">
        <v>24</v>
      </c>
      <c r="C405" t="s">
        <v>24</v>
      </c>
      <c r="D405" t="s">
        <v>663</v>
      </c>
      <c r="E405" t="s">
        <v>54</v>
      </c>
      <c r="F405" s="1" t="s">
        <v>669</v>
      </c>
      <c r="I405" t="s">
        <v>664</v>
      </c>
      <c r="J405" s="22">
        <v>0</v>
      </c>
      <c r="K405" s="22">
        <v>0</v>
      </c>
      <c r="L405" s="22">
        <v>0</v>
      </c>
      <c r="M405" s="22">
        <v>0</v>
      </c>
      <c r="N405" s="22">
        <v>0</v>
      </c>
      <c r="O405" s="22">
        <v>0</v>
      </c>
      <c r="P405" s="22">
        <v>0</v>
      </c>
      <c r="Q405" s="22">
        <v>0</v>
      </c>
      <c r="R405">
        <v>0</v>
      </c>
      <c r="S405">
        <v>0</v>
      </c>
      <c r="AJ405">
        <v>0</v>
      </c>
    </row>
    <row r="406" spans="1:36" x14ac:dyDescent="0.25">
      <c r="A406" t="s">
        <v>578</v>
      </c>
      <c r="B406" t="s">
        <v>24</v>
      </c>
      <c r="C406" t="s">
        <v>24</v>
      </c>
      <c r="D406" t="s">
        <v>659</v>
      </c>
      <c r="E406" t="s">
        <v>26</v>
      </c>
      <c r="F406" s="1" t="s">
        <v>669</v>
      </c>
      <c r="I406" t="s">
        <v>660</v>
      </c>
      <c r="J406" s="22">
        <v>0.0411</v>
      </c>
      <c r="K406" s="22">
        <v>0</v>
      </c>
      <c r="L406" s="22">
        <v>0</v>
      </c>
      <c r="M406" s="22">
        <v>0.0411</v>
      </c>
      <c r="N406" s="22">
        <v>0.0411</v>
      </c>
      <c r="O406" s="22">
        <v>0.0411</v>
      </c>
      <c r="P406" s="22">
        <v>0.0411</v>
      </c>
      <c r="Q406" s="22">
        <v>0.0411</v>
      </c>
      <c r="R406">
        <v>0.0411</v>
      </c>
      <c r="S406">
        <v>0.0411</v>
      </c>
      <c r="AJ406">
        <v>0</v>
      </c>
    </row>
    <row r="407" spans="1:36" x14ac:dyDescent="0.25">
      <c r="A407" t="s">
        <v>670</v>
      </c>
      <c r="B407" t="s">
        <v>24</v>
      </c>
      <c r="C407" t="s">
        <v>24</v>
      </c>
      <c r="D407" t="s">
        <v>25</v>
      </c>
      <c r="E407" t="s">
        <v>26</v>
      </c>
      <c r="F407" s="1" t="s">
        <v>671</v>
      </c>
      <c r="I407" t="s">
        <v>28</v>
      </c>
      <c r="J407" s="22">
        <v>0.77</v>
      </c>
      <c r="K407" s="22">
        <v>0.77</v>
      </c>
      <c r="L407" s="22">
        <v>0.77</v>
      </c>
      <c r="M407" s="22">
        <v>0.77</v>
      </c>
      <c r="N407" s="22">
        <v>0.77</v>
      </c>
      <c r="O407" s="22">
        <v>0.77</v>
      </c>
      <c r="P407" s="22">
        <v>0.77</v>
      </c>
      <c r="Q407" s="22">
        <v>0.77</v>
      </c>
      <c r="R407">
        <v>0.77</v>
      </c>
      <c r="S407">
        <v>0.77</v>
      </c>
      <c r="AJ407">
        <v>0</v>
      </c>
    </row>
    <row r="408" spans="1:36" x14ac:dyDescent="0.25">
      <c r="A408" t="s">
        <v>670</v>
      </c>
      <c r="B408" t="s">
        <v>24</v>
      </c>
      <c r="C408" t="s">
        <v>24</v>
      </c>
      <c r="D408" t="s">
        <v>453</v>
      </c>
      <c r="E408" t="s">
        <v>54</v>
      </c>
      <c r="F408" s="1" t="s">
        <v>671</v>
      </c>
      <c r="I408" t="s">
        <v>454</v>
      </c>
      <c r="J408" s="22">
        <v>0.23</v>
      </c>
      <c r="K408" s="22">
        <v>0.23</v>
      </c>
      <c r="L408" s="22">
        <v>0.23</v>
      </c>
      <c r="M408" s="22">
        <v>0.23</v>
      </c>
      <c r="N408" s="22">
        <v>0.23</v>
      </c>
      <c r="O408" s="22">
        <v>0.23</v>
      </c>
      <c r="P408" s="22">
        <v>0.23</v>
      </c>
      <c r="Q408" s="22">
        <v>0.23</v>
      </c>
      <c r="R408">
        <v>0.23</v>
      </c>
      <c r="S408">
        <v>0.23</v>
      </c>
      <c r="AJ408">
        <v>0</v>
      </c>
    </row>
    <row r="409" spans="10:36" x14ac:dyDescent="0.25">
      <c r="J409" s="22"/>
      <c r="K409" s="22"/>
      <c r="L409" s="22"/>
      <c r="M409" s="22"/>
      <c r="N409" s="22"/>
      <c r="O409" s="22"/>
      <c r="P409" s="22"/>
      <c r="Q409" s="22"/>
      <c r="AJ409">
        <v>0</v>
      </c>
    </row>
    <row r="410" spans="10:17" x14ac:dyDescent="0.25">
      <c r="J410" s="22"/>
      <c r="K410" s="22"/>
      <c r="L410" s="22"/>
      <c r="M410" s="22"/>
      <c r="N410" s="22"/>
      <c r="O410" s="22"/>
      <c r="P410" s="22"/>
      <c r="Q410" s="22"/>
    </row>
    <row r="411" spans="10:17" x14ac:dyDescent="0.25">
      <c r="J411" s="22"/>
      <c r="K411" s="22"/>
      <c r="L411" s="22"/>
      <c r="M411" s="22"/>
      <c r="N411" s="22"/>
      <c r="O411" s="22"/>
      <c r="P411" s="22"/>
      <c r="Q411" s="22"/>
    </row>
    <row r="412" spans="10:17" x14ac:dyDescent="0.25">
      <c r="J412" s="22"/>
      <c r="K412" s="22"/>
      <c r="L412" s="22"/>
      <c r="M412" s="22"/>
      <c r="N412" s="22"/>
      <c r="O412" s="22"/>
      <c r="P412" s="22"/>
      <c r="Q412" s="22"/>
    </row>
    <row r="413" spans="10:17" x14ac:dyDescent="0.25">
      <c r="J413" s="22"/>
      <c r="K413" s="22"/>
      <c r="L413" s="22"/>
      <c r="M413" s="22"/>
      <c r="N413" s="22"/>
      <c r="O413" s="22"/>
      <c r="P413" s="22"/>
      <c r="Q413" s="22"/>
    </row>
    <row r="414" spans="10:17" x14ac:dyDescent="0.25">
      <c r="J414" s="22"/>
      <c r="K414" s="22"/>
      <c r="L414" s="22"/>
      <c r="M414" s="22"/>
      <c r="N414" s="22"/>
      <c r="O414" s="22"/>
      <c r="P414" s="22"/>
      <c r="Q414" s="22"/>
    </row>
    <row r="415" spans="10:17" x14ac:dyDescent="0.25">
      <c r="J415" s="22"/>
      <c r="K415" s="22"/>
      <c r="L415" s="22"/>
      <c r="M415" s="22"/>
      <c r="N415" s="22"/>
      <c r="O415" s="22"/>
      <c r="P415" s="22"/>
      <c r="Q415" s="22"/>
    </row>
    <row r="416" spans="10:17" x14ac:dyDescent="0.25">
      <c r="J416" s="22"/>
      <c r="K416" s="22"/>
      <c r="L416" s="22"/>
      <c r="M416" s="22"/>
      <c r="N416" s="22"/>
      <c r="O416" s="22"/>
      <c r="P416" s="22"/>
      <c r="Q416" s="22"/>
    </row>
    <row r="417" spans="10:17" x14ac:dyDescent="0.25">
      <c r="J417" s="22"/>
      <c r="K417" s="22"/>
      <c r="L417" s="22"/>
      <c r="M417" s="22"/>
      <c r="N417" s="22"/>
      <c r="O417" s="22"/>
      <c r="P417" s="22"/>
      <c r="Q417" s="22"/>
    </row>
    <row r="418" spans="10:17" x14ac:dyDescent="0.25">
      <c r="J418" s="22"/>
      <c r="K418" s="22"/>
      <c r="L418" s="22"/>
      <c r="M418" s="22"/>
      <c r="N418" s="22"/>
      <c r="O418" s="22"/>
      <c r="P418" s="22"/>
      <c r="Q418" s="22"/>
    </row>
    <row r="419" spans="10:17" x14ac:dyDescent="0.25">
      <c r="J419" s="22"/>
      <c r="K419" s="22"/>
      <c r="L419" s="22"/>
      <c r="M419" s="22"/>
      <c r="N419" s="22"/>
      <c r="O419" s="22"/>
      <c r="P419" s="22"/>
      <c r="Q419" s="22"/>
    </row>
    <row r="420" spans="10:17" x14ac:dyDescent="0.25">
      <c r="J420" s="22"/>
      <c r="K420" s="22"/>
      <c r="L420" s="22"/>
      <c r="M420" s="22"/>
      <c r="N420" s="22"/>
      <c r="O420" s="22"/>
      <c r="P420" s="22"/>
      <c r="Q420" s="22"/>
    </row>
    <row r="421" spans="10:17" x14ac:dyDescent="0.25">
      <c r="J421" s="22"/>
      <c r="K421" s="22"/>
      <c r="L421" s="22"/>
      <c r="M421" s="22"/>
      <c r="N421" s="22"/>
      <c r="O421" s="22"/>
      <c r="P421" s="22"/>
      <c r="Q421" s="22"/>
    </row>
    <row r="422" spans="10:17" x14ac:dyDescent="0.25">
      <c r="J422" s="22"/>
      <c r="K422" s="22"/>
      <c r="L422" s="22"/>
      <c r="M422" s="22"/>
      <c r="N422" s="22"/>
      <c r="O422" s="22"/>
      <c r="P422" s="22"/>
      <c r="Q422" s="22"/>
    </row>
    <row r="423" spans="10:17" x14ac:dyDescent="0.25">
      <c r="J423" s="22"/>
      <c r="K423" s="22"/>
      <c r="L423" s="22"/>
      <c r="M423" s="22"/>
      <c r="N423" s="22"/>
      <c r="O423" s="22"/>
      <c r="P423" s="22"/>
      <c r="Q423" s="22"/>
    </row>
    <row r="424" spans="10:17" x14ac:dyDescent="0.25">
      <c r="J424" s="22"/>
      <c r="K424" s="22"/>
      <c r="L424" s="22"/>
      <c r="M424" s="22"/>
      <c r="N424" s="22"/>
      <c r="O424" s="22"/>
      <c r="P424" s="22"/>
      <c r="Q424" s="22"/>
    </row>
    <row r="425" spans="10:17" x14ac:dyDescent="0.25">
      <c r="J425" s="22"/>
      <c r="K425" s="22"/>
      <c r="L425" s="22"/>
      <c r="M425" s="22"/>
      <c r="N425" s="22"/>
      <c r="O425" s="22"/>
      <c r="P425" s="22"/>
      <c r="Q425" s="22"/>
    </row>
    <row r="426" spans="10:17" x14ac:dyDescent="0.25">
      <c r="J426" s="22"/>
      <c r="K426" s="22"/>
      <c r="L426" s="22"/>
      <c r="M426" s="22"/>
      <c r="N426" s="22"/>
      <c r="O426" s="22"/>
      <c r="P426" s="22"/>
      <c r="Q426" s="22"/>
    </row>
    <row r="427" spans="10:17" x14ac:dyDescent="0.25">
      <c r="J427" s="22"/>
      <c r="K427" s="22"/>
      <c r="L427" s="22"/>
      <c r="M427" s="22"/>
      <c r="N427" s="22"/>
      <c r="O427" s="22"/>
      <c r="P427" s="22"/>
      <c r="Q427" s="22"/>
    </row>
    <row r="428" spans="10:17" x14ac:dyDescent="0.25">
      <c r="J428" s="22"/>
      <c r="K428" s="22"/>
      <c r="L428" s="22"/>
      <c r="M428" s="22"/>
      <c r="N428" s="22"/>
      <c r="O428" s="22"/>
      <c r="P428" s="22"/>
      <c r="Q428" s="22"/>
    </row>
    <row r="429" spans="10:17" x14ac:dyDescent="0.25">
      <c r="J429" s="22"/>
      <c r="K429" s="22"/>
      <c r="L429" s="22"/>
      <c r="M429" s="22"/>
      <c r="N429" s="22"/>
      <c r="O429" s="22"/>
      <c r="P429" s="22"/>
      <c r="Q429" s="22"/>
    </row>
    <row r="430" spans="10:17" x14ac:dyDescent="0.25">
      <c r="J430" s="22"/>
      <c r="K430" s="22"/>
      <c r="L430" s="22"/>
      <c r="M430" s="22"/>
      <c r="N430" s="22"/>
      <c r="O430" s="22"/>
      <c r="P430" s="22"/>
      <c r="Q430" s="22"/>
    </row>
    <row r="431" spans="10:17" x14ac:dyDescent="0.25">
      <c r="J431" s="22"/>
      <c r="K431" s="22"/>
      <c r="L431" s="22"/>
      <c r="M431" s="22"/>
      <c r="N431" s="22"/>
      <c r="O431" s="22"/>
      <c r="P431" s="22"/>
      <c r="Q431" s="22"/>
    </row>
    <row r="432" spans="10:17" x14ac:dyDescent="0.25">
      <c r="J432" s="22"/>
      <c r="K432" s="22"/>
      <c r="L432" s="22"/>
      <c r="M432" s="22"/>
      <c r="N432" s="22"/>
      <c r="O432" s="22"/>
      <c r="P432" s="22"/>
      <c r="Q432" s="22"/>
    </row>
    <row r="433" spans="10:17" x14ac:dyDescent="0.25">
      <c r="J433" s="22"/>
      <c r="K433" s="22"/>
      <c r="L433" s="22"/>
      <c r="M433" s="22"/>
      <c r="N433" s="22"/>
      <c r="O433" s="22"/>
      <c r="P433" s="22"/>
      <c r="Q433" s="22"/>
    </row>
    <row r="434" spans="10:17" x14ac:dyDescent="0.25">
      <c r="J434" s="22"/>
      <c r="K434" s="22"/>
      <c r="L434" s="22"/>
      <c r="M434" s="22"/>
      <c r="N434" s="22"/>
      <c r="O434" s="22"/>
      <c r="P434" s="22"/>
      <c r="Q434" s="22"/>
    </row>
    <row r="435" spans="10:17" x14ac:dyDescent="0.25">
      <c r="J435" s="22"/>
      <c r="K435" s="22"/>
      <c r="L435" s="22"/>
      <c r="M435" s="22"/>
      <c r="N435" s="22"/>
      <c r="O435" s="22"/>
      <c r="P435" s="22"/>
      <c r="Q435" s="22"/>
    </row>
    <row r="436" spans="10:17" x14ac:dyDescent="0.25">
      <c r="J436" s="22"/>
      <c r="K436" s="22"/>
      <c r="L436" s="22"/>
      <c r="M436" s="22"/>
      <c r="N436" s="22"/>
      <c r="O436" s="22"/>
      <c r="P436" s="22"/>
      <c r="Q436" s="22"/>
    </row>
    <row r="437" spans="10:17" x14ac:dyDescent="0.25">
      <c r="J437" s="22"/>
      <c r="K437" s="22"/>
      <c r="L437" s="22"/>
      <c r="M437" s="22"/>
      <c r="N437" s="22"/>
      <c r="O437" s="22"/>
      <c r="P437" s="22"/>
      <c r="Q437" s="22"/>
    </row>
    <row r="438" spans="10:17" x14ac:dyDescent="0.25">
      <c r="J438" s="22"/>
      <c r="K438" s="22"/>
      <c r="L438" s="22"/>
      <c r="M438" s="22"/>
      <c r="N438" s="22"/>
      <c r="O438" s="22"/>
      <c r="P438" s="22"/>
      <c r="Q438" s="22"/>
    </row>
    <row r="439" spans="10:17" x14ac:dyDescent="0.25">
      <c r="J439" s="22"/>
      <c r="K439" s="22"/>
      <c r="L439" s="22"/>
      <c r="M439" s="22"/>
      <c r="N439" s="22"/>
      <c r="O439" s="22"/>
      <c r="P439" s="22"/>
      <c r="Q439" s="22"/>
    </row>
    <row r="440" spans="10:17" x14ac:dyDescent="0.25">
      <c r="J440" s="22"/>
      <c r="K440" s="22"/>
      <c r="L440" s="22"/>
      <c r="M440" s="22"/>
      <c r="N440" s="22"/>
      <c r="O440" s="22"/>
      <c r="P440" s="22"/>
      <c r="Q440" s="22"/>
    </row>
    <row r="441" spans="10:17" x14ac:dyDescent="0.25">
      <c r="J441" s="22"/>
      <c r="K441" s="22"/>
      <c r="L441" s="22"/>
      <c r="M441" s="22"/>
      <c r="N441" s="22"/>
      <c r="O441" s="22"/>
      <c r="P441" s="22"/>
      <c r="Q441" s="22"/>
    </row>
    <row r="442" spans="10:17" x14ac:dyDescent="0.25">
      <c r="J442" s="22"/>
      <c r="K442" s="22"/>
      <c r="L442" s="22"/>
      <c r="M442" s="22"/>
      <c r="N442" s="22"/>
      <c r="O442" s="22"/>
      <c r="P442" s="22"/>
      <c r="Q442" s="22"/>
    </row>
    <row r="443" spans="10:17" x14ac:dyDescent="0.25">
      <c r="J443" s="22"/>
      <c r="K443" s="22"/>
      <c r="L443" s="22"/>
      <c r="M443" s="22"/>
      <c r="N443" s="22"/>
      <c r="O443" s="22"/>
      <c r="P443" s="22"/>
      <c r="Q443" s="22"/>
    </row>
    <row r="444" spans="10:17" x14ac:dyDescent="0.25">
      <c r="J444" s="22"/>
      <c r="K444" s="22"/>
      <c r="L444" s="22"/>
      <c r="M444" s="22"/>
      <c r="N444" s="22"/>
      <c r="O444" s="22"/>
      <c r="P444" s="22"/>
      <c r="Q444" s="22"/>
    </row>
    <row r="445" spans="10:17" x14ac:dyDescent="0.25">
      <c r="J445" s="22"/>
      <c r="K445" s="22"/>
      <c r="L445" s="22"/>
      <c r="M445" s="22"/>
      <c r="N445" s="22"/>
      <c r="O445" s="22"/>
      <c r="P445" s="22"/>
      <c r="Q445" s="22"/>
    </row>
    <row r="446" spans="10:17" x14ac:dyDescent="0.25">
      <c r="J446" s="22"/>
      <c r="K446" s="22"/>
      <c r="L446" s="22"/>
      <c r="M446" s="22"/>
      <c r="N446" s="22"/>
      <c r="O446" s="22"/>
      <c r="P446" s="22"/>
      <c r="Q446" s="22"/>
    </row>
    <row r="447" spans="10:17" x14ac:dyDescent="0.25">
      <c r="J447" s="22"/>
      <c r="K447" s="22"/>
      <c r="L447" s="22"/>
      <c r="M447" s="22"/>
      <c r="N447" s="22"/>
      <c r="O447" s="22"/>
      <c r="P447" s="22"/>
      <c r="Q447" s="22"/>
    </row>
    <row r="448" spans="10:17" x14ac:dyDescent="0.25">
      <c r="J448" s="22"/>
      <c r="K448" s="22"/>
      <c r="L448" s="22"/>
      <c r="M448" s="22"/>
      <c r="N448" s="22"/>
      <c r="O448" s="22"/>
      <c r="P448" s="22"/>
      <c r="Q448" s="22"/>
    </row>
    <row r="449" spans="10:17" x14ac:dyDescent="0.25">
      <c r="J449" s="22"/>
      <c r="K449" s="22"/>
      <c r="L449" s="22"/>
      <c r="M449" s="22"/>
      <c r="N449" s="22"/>
      <c r="O449" s="22"/>
      <c r="P449" s="22"/>
      <c r="Q449" s="22"/>
    </row>
    <row r="450" spans="10:17" x14ac:dyDescent="0.25">
      <c r="J450" s="22"/>
      <c r="K450" s="22"/>
      <c r="L450" s="22"/>
      <c r="M450" s="22"/>
      <c r="N450" s="22"/>
      <c r="O450" s="22"/>
      <c r="P450" s="22"/>
      <c r="Q450" s="22"/>
    </row>
    <row r="451" spans="10:17" x14ac:dyDescent="0.25">
      <c r="J451" s="22"/>
      <c r="K451" s="22"/>
      <c r="L451" s="22"/>
      <c r="M451" s="22"/>
      <c r="N451" s="22"/>
      <c r="O451" s="22"/>
      <c r="P451" s="22"/>
      <c r="Q451" s="22"/>
    </row>
    <row r="452" spans="10:17" x14ac:dyDescent="0.25">
      <c r="J452" s="22"/>
      <c r="K452" s="22"/>
      <c r="L452" s="22"/>
      <c r="M452" s="22"/>
      <c r="N452" s="22"/>
      <c r="O452" s="22"/>
      <c r="P452" s="22"/>
      <c r="Q452" s="22"/>
    </row>
    <row r="453" spans="10:17" x14ac:dyDescent="0.25">
      <c r="J453" s="22"/>
      <c r="K453" s="22"/>
      <c r="L453" s="22"/>
      <c r="M453" s="22"/>
      <c r="N453" s="22"/>
      <c r="O453" s="22"/>
      <c r="P453" s="22"/>
      <c r="Q453" s="22"/>
    </row>
    <row r="454" spans="10:17" x14ac:dyDescent="0.25">
      <c r="J454" s="22"/>
      <c r="K454" s="22"/>
      <c r="L454" s="22"/>
      <c r="M454" s="22"/>
      <c r="N454" s="22"/>
      <c r="O454" s="22"/>
      <c r="P454" s="22"/>
      <c r="Q454" s="22"/>
    </row>
    <row r="455" spans="10:17" x14ac:dyDescent="0.25">
      <c r="J455" s="22"/>
      <c r="K455" s="22"/>
      <c r="L455" s="22"/>
      <c r="M455" s="22"/>
      <c r="N455" s="22"/>
      <c r="O455" s="22"/>
      <c r="P455" s="22"/>
      <c r="Q455" s="22"/>
    </row>
    <row r="456" spans="10:17" x14ac:dyDescent="0.25">
      <c r="J456" s="22"/>
      <c r="K456" s="22"/>
      <c r="L456" s="22"/>
      <c r="M456" s="22"/>
      <c r="N456" s="22"/>
      <c r="O456" s="22"/>
      <c r="P456" s="22"/>
      <c r="Q456" s="22"/>
    </row>
    <row r="457" spans="10:17" x14ac:dyDescent="0.25">
      <c r="J457" s="22"/>
      <c r="K457" s="22"/>
      <c r="L457" s="22"/>
      <c r="M457" s="22"/>
      <c r="N457" s="22"/>
      <c r="O457" s="22"/>
      <c r="P457" s="22"/>
      <c r="Q457" s="22"/>
    </row>
    <row r="458" spans="10:17" x14ac:dyDescent="0.25">
      <c r="J458" s="22"/>
      <c r="K458" s="22"/>
      <c r="L458" s="22"/>
      <c r="M458" s="22"/>
      <c r="N458" s="22"/>
      <c r="O458" s="22"/>
      <c r="P458" s="22"/>
      <c r="Q458" s="22"/>
    </row>
    <row r="459" spans="10:17" x14ac:dyDescent="0.25">
      <c r="J459" s="22"/>
      <c r="K459" s="22"/>
      <c r="L459" s="22"/>
      <c r="M459" s="22"/>
      <c r="N459" s="22"/>
      <c r="O459" s="22"/>
      <c r="P459" s="22"/>
      <c r="Q459" s="22"/>
    </row>
    <row r="460" spans="10:17" x14ac:dyDescent="0.25">
      <c r="J460" s="22"/>
      <c r="K460" s="22"/>
      <c r="L460" s="22"/>
      <c r="M460" s="22"/>
      <c r="N460" s="22"/>
      <c r="O460" s="22"/>
      <c r="P460" s="22"/>
      <c r="Q460" s="22"/>
    </row>
    <row r="461" spans="10:17" x14ac:dyDescent="0.25">
      <c r="J461" s="22"/>
      <c r="K461" s="22"/>
      <c r="L461" s="22"/>
      <c r="M461" s="22"/>
      <c r="N461" s="22"/>
      <c r="O461" s="22"/>
      <c r="P461" s="22"/>
      <c r="Q461" s="22"/>
    </row>
    <row r="462" spans="10:17" x14ac:dyDescent="0.25">
      <c r="J462" s="22"/>
      <c r="K462" s="22"/>
      <c r="L462" s="22"/>
      <c r="M462" s="22"/>
      <c r="N462" s="22"/>
      <c r="O462" s="22"/>
      <c r="P462" s="22"/>
      <c r="Q462" s="22"/>
    </row>
    <row r="463" spans="10:17" x14ac:dyDescent="0.25">
      <c r="J463" s="22"/>
      <c r="K463" s="22"/>
      <c r="L463" s="22"/>
      <c r="M463" s="22"/>
      <c r="N463" s="22"/>
      <c r="O463" s="22"/>
      <c r="P463" s="22"/>
      <c r="Q463" s="22"/>
    </row>
    <row r="464" spans="10:17" x14ac:dyDescent="0.25">
      <c r="J464" s="22"/>
      <c r="K464" s="22"/>
      <c r="L464" s="22"/>
      <c r="M464" s="22"/>
      <c r="N464" s="22"/>
      <c r="O464" s="22"/>
      <c r="P464" s="22"/>
      <c r="Q464" s="22"/>
    </row>
    <row r="465" spans="10:17" x14ac:dyDescent="0.25">
      <c r="J465" s="22"/>
      <c r="K465" s="22"/>
      <c r="L465" s="22"/>
      <c r="M465" s="22"/>
      <c r="N465" s="22"/>
      <c r="O465" s="22"/>
      <c r="P465" s="22"/>
      <c r="Q465" s="22"/>
    </row>
    <row r="466" spans="10:17" x14ac:dyDescent="0.25">
      <c r="J466" s="22"/>
      <c r="K466" s="22"/>
      <c r="L466" s="22"/>
      <c r="M466" s="22"/>
      <c r="N466" s="22"/>
      <c r="O466" s="22"/>
      <c r="P466" s="22"/>
      <c r="Q466" s="22"/>
    </row>
    <row r="467" spans="10:17" x14ac:dyDescent="0.25">
      <c r="J467" s="22"/>
      <c r="K467" s="22"/>
      <c r="L467" s="22"/>
      <c r="M467" s="22"/>
      <c r="N467" s="22"/>
      <c r="O467" s="22"/>
      <c r="P467" s="22"/>
      <c r="Q467" s="22"/>
    </row>
    <row r="468" spans="10:17" x14ac:dyDescent="0.25">
      <c r="J468" s="22"/>
      <c r="K468" s="22"/>
      <c r="L468" s="22"/>
      <c r="M468" s="22"/>
      <c r="N468" s="22"/>
      <c r="O468" s="22"/>
      <c r="P468" s="22"/>
      <c r="Q468" s="22"/>
    </row>
    <row r="469" spans="10:17" x14ac:dyDescent="0.25">
      <c r="J469" s="22"/>
      <c r="K469" s="22"/>
      <c r="L469" s="22"/>
      <c r="M469" s="22"/>
      <c r="N469" s="22"/>
      <c r="O469" s="22"/>
      <c r="P469" s="22"/>
      <c r="Q469" s="22"/>
    </row>
    <row r="470" spans="10:17" x14ac:dyDescent="0.25">
      <c r="J470" s="22"/>
      <c r="K470" s="22"/>
      <c r="L470" s="22"/>
      <c r="M470" s="22"/>
      <c r="N470" s="22"/>
      <c r="O470" s="22"/>
      <c r="P470" s="22"/>
      <c r="Q470" s="22"/>
    </row>
    <row r="471" spans="10:17" x14ac:dyDescent="0.25">
      <c r="J471" s="22"/>
      <c r="K471" s="22"/>
      <c r="L471" s="22"/>
      <c r="M471" s="22"/>
      <c r="N471" s="22"/>
      <c r="O471" s="22"/>
      <c r="P471" s="22"/>
      <c r="Q471" s="22"/>
    </row>
    <row r="472" spans="10:17" x14ac:dyDescent="0.25">
      <c r="J472" s="22"/>
      <c r="K472" s="22"/>
      <c r="L472" s="22"/>
      <c r="M472" s="22"/>
      <c r="N472" s="22"/>
      <c r="O472" s="22"/>
      <c r="P472" s="22"/>
      <c r="Q472" s="22"/>
    </row>
    <row r="473" spans="10:17" x14ac:dyDescent="0.25">
      <c r="J473" s="22"/>
      <c r="K473" s="22"/>
      <c r="L473" s="22"/>
      <c r="M473" s="22"/>
      <c r="N473" s="22"/>
      <c r="O473" s="22"/>
      <c r="P473" s="22"/>
      <c r="Q473" s="22"/>
    </row>
    <row r="474" spans="10:17" x14ac:dyDescent="0.25">
      <c r="J474" s="22"/>
      <c r="K474" s="22"/>
      <c r="L474" s="22"/>
      <c r="M474" s="22"/>
      <c r="N474" s="22"/>
      <c r="O474" s="22"/>
      <c r="P474" s="22"/>
      <c r="Q474" s="22"/>
    </row>
    <row r="475" spans="10:17" x14ac:dyDescent="0.25">
      <c r="J475" s="22"/>
      <c r="K475" s="22"/>
      <c r="L475" s="22"/>
      <c r="M475" s="22"/>
      <c r="N475" s="22"/>
      <c r="O475" s="22"/>
      <c r="P475" s="22"/>
      <c r="Q475" s="22"/>
    </row>
    <row r="476" spans="10:17" x14ac:dyDescent="0.25">
      <c r="J476" s="22"/>
      <c r="K476" s="22"/>
      <c r="L476" s="22"/>
      <c r="M476" s="22"/>
      <c r="N476" s="22"/>
      <c r="O476" s="22"/>
      <c r="P476" s="22"/>
      <c r="Q476" s="22"/>
    </row>
    <row r="477" spans="10:17" x14ac:dyDescent="0.25">
      <c r="J477" s="22"/>
      <c r="K477" s="22"/>
      <c r="L477" s="22"/>
      <c r="M477" s="22"/>
      <c r="N477" s="22"/>
      <c r="O477" s="22"/>
      <c r="P477" s="22"/>
      <c r="Q477" s="22"/>
    </row>
    <row r="478" spans="10:17" x14ac:dyDescent="0.25">
      <c r="J478" s="22"/>
      <c r="K478" s="22"/>
      <c r="L478" s="22"/>
      <c r="M478" s="22"/>
      <c r="N478" s="22"/>
      <c r="O478" s="22"/>
      <c r="P478" s="22"/>
      <c r="Q478" s="22"/>
    </row>
    <row r="479" spans="10:17" x14ac:dyDescent="0.25">
      <c r="J479" s="22"/>
      <c r="K479" s="22"/>
      <c r="L479" s="22"/>
      <c r="M479" s="22"/>
      <c r="N479" s="22"/>
      <c r="O479" s="22"/>
      <c r="P479" s="22"/>
      <c r="Q479" s="22"/>
    </row>
    <row r="480" spans="10:17" x14ac:dyDescent="0.25">
      <c r="J480" s="22"/>
      <c r="K480" s="22"/>
      <c r="L480" s="22"/>
      <c r="M480" s="22"/>
      <c r="N480" s="22"/>
      <c r="O480" s="22"/>
      <c r="P480" s="22"/>
      <c r="Q480" s="22"/>
    </row>
    <row r="481" spans="10:17" x14ac:dyDescent="0.25">
      <c r="J481" s="22"/>
      <c r="K481" s="22"/>
      <c r="L481" s="22"/>
      <c r="M481" s="22"/>
      <c r="N481" s="22"/>
      <c r="O481" s="22"/>
      <c r="P481" s="22"/>
      <c r="Q481" s="22"/>
    </row>
    <row r="482" spans="10:17" x14ac:dyDescent="0.25">
      <c r="J482" s="22"/>
      <c r="K482" s="22"/>
      <c r="L482" s="22"/>
      <c r="M482" s="22"/>
      <c r="N482" s="22"/>
      <c r="O482" s="22"/>
      <c r="P482" s="22"/>
      <c r="Q482" s="22"/>
    </row>
    <row r="483" spans="10:17" x14ac:dyDescent="0.25">
      <c r="J483" s="22"/>
      <c r="K483" s="22"/>
      <c r="L483" s="22"/>
      <c r="M483" s="22"/>
      <c r="N483" s="22"/>
      <c r="O483" s="22"/>
      <c r="P483" s="22"/>
      <c r="Q483" s="22"/>
    </row>
    <row r="484" spans="10:17" x14ac:dyDescent="0.25">
      <c r="J484" s="22"/>
      <c r="K484" s="22"/>
      <c r="L484" s="22"/>
      <c r="M484" s="22"/>
      <c r="N484" s="22"/>
      <c r="O484" s="22"/>
      <c r="P484" s="22"/>
      <c r="Q484" s="22"/>
    </row>
    <row r="485" spans="10:17" x14ac:dyDescent="0.25">
      <c r="J485" s="22"/>
      <c r="K485" s="22"/>
      <c r="L485" s="22"/>
      <c r="M485" s="22"/>
      <c r="N485" s="22"/>
      <c r="O485" s="22"/>
      <c r="P485" s="22"/>
      <c r="Q485" s="22"/>
    </row>
    <row r="486" spans="10:17" x14ac:dyDescent="0.25">
      <c r="J486" s="22"/>
      <c r="K486" s="22"/>
      <c r="L486" s="22"/>
      <c r="M486" s="22"/>
      <c r="N486" s="22"/>
      <c r="O486" s="22"/>
      <c r="P486" s="22"/>
      <c r="Q486" s="22"/>
    </row>
    <row r="487" spans="10:17" x14ac:dyDescent="0.25">
      <c r="J487" s="22"/>
      <c r="K487" s="22"/>
      <c r="L487" s="22"/>
      <c r="M487" s="22"/>
      <c r="N487" s="22"/>
      <c r="O487" s="22"/>
      <c r="P487" s="22"/>
      <c r="Q487" s="22"/>
    </row>
    <row r="488" spans="10:17" x14ac:dyDescent="0.25">
      <c r="J488" s="22"/>
      <c r="K488" s="22"/>
      <c r="L488" s="22"/>
      <c r="M488" s="22"/>
      <c r="N488" s="22"/>
      <c r="O488" s="22"/>
      <c r="P488" s="22"/>
      <c r="Q488" s="22"/>
    </row>
    <row r="489" spans="10:17" x14ac:dyDescent="0.25">
      <c r="J489" s="22"/>
      <c r="K489" s="22"/>
      <c r="L489" s="22"/>
      <c r="M489" s="22"/>
      <c r="N489" s="22"/>
      <c r="O489" s="22"/>
      <c r="P489" s="22"/>
      <c r="Q489" s="22"/>
    </row>
    <row r="490" spans="10:17" x14ac:dyDescent="0.25">
      <c r="J490" s="22"/>
      <c r="K490" s="22"/>
      <c r="L490" s="22"/>
      <c r="M490" s="22"/>
      <c r="N490" s="22"/>
      <c r="O490" s="22"/>
      <c r="P490" s="22"/>
      <c r="Q490" s="22"/>
    </row>
    <row r="491" spans="10:17" x14ac:dyDescent="0.25">
      <c r="J491" s="22"/>
      <c r="K491" s="22"/>
      <c r="L491" s="22"/>
      <c r="M491" s="22"/>
      <c r="N491" s="22"/>
      <c r="O491" s="22"/>
      <c r="P491" s="22"/>
      <c r="Q491" s="22"/>
    </row>
    <row r="492" spans="10:17" x14ac:dyDescent="0.25">
      <c r="J492" s="22"/>
      <c r="K492" s="22"/>
      <c r="L492" s="22"/>
      <c r="M492" s="22"/>
      <c r="N492" s="22"/>
      <c r="O492" s="22"/>
      <c r="P492" s="22"/>
      <c r="Q492" s="22"/>
    </row>
    <row r="493" spans="10:17" x14ac:dyDescent="0.25">
      <c r="J493" s="22"/>
      <c r="K493" s="22"/>
      <c r="L493" s="22"/>
      <c r="M493" s="22"/>
      <c r="N493" s="22"/>
      <c r="O493" s="22"/>
      <c r="P493" s="22"/>
      <c r="Q493" s="22"/>
    </row>
    <row r="494" spans="10:17" x14ac:dyDescent="0.25">
      <c r="J494" s="22"/>
      <c r="K494" s="22"/>
      <c r="L494" s="22"/>
      <c r="M494" s="22"/>
      <c r="N494" s="22"/>
      <c r="O494" s="22"/>
      <c r="P494" s="22"/>
      <c r="Q494" s="22"/>
    </row>
    <row r="495" spans="10:17" x14ac:dyDescent="0.25">
      <c r="J495" s="22"/>
      <c r="K495" s="22"/>
      <c r="L495" s="22"/>
      <c r="M495" s="22"/>
      <c r="N495" s="22"/>
      <c r="O495" s="22"/>
      <c r="P495" s="22"/>
      <c r="Q495" s="22"/>
    </row>
    <row r="496" spans="10:17" x14ac:dyDescent="0.25">
      <c r="J496" s="22"/>
      <c r="K496" s="22"/>
      <c r="L496" s="22"/>
      <c r="M496" s="22"/>
      <c r="N496" s="22"/>
      <c r="O496" s="22"/>
      <c r="P496" s="22"/>
      <c r="Q496" s="22"/>
    </row>
    <row r="497" spans="10:17" x14ac:dyDescent="0.25">
      <c r="J497" s="22"/>
      <c r="K497" s="22"/>
      <c r="L497" s="22"/>
      <c r="M497" s="22"/>
      <c r="N497" s="22"/>
      <c r="O497" s="22"/>
      <c r="P497" s="22"/>
      <c r="Q497" s="22"/>
    </row>
    <row r="498" spans="10:17" x14ac:dyDescent="0.25">
      <c r="J498" s="22"/>
      <c r="K498" s="22"/>
      <c r="L498" s="22"/>
      <c r="M498" s="22"/>
      <c r="N498" s="22"/>
      <c r="O498" s="22"/>
      <c r="P498" s="22"/>
      <c r="Q498" s="22"/>
    </row>
    <row r="499" spans="10:17" x14ac:dyDescent="0.25">
      <c r="J499" s="22"/>
      <c r="K499" s="22"/>
      <c r="L499" s="22"/>
      <c r="M499" s="22"/>
      <c r="N499" s="22"/>
      <c r="O499" s="22"/>
      <c r="P499" s="22"/>
      <c r="Q499" s="22"/>
    </row>
    <row r="500" spans="10:17" x14ac:dyDescent="0.25">
      <c r="J500" s="22"/>
      <c r="K500" s="22"/>
      <c r="L500" s="22"/>
      <c r="M500" s="22"/>
      <c r="N500" s="22"/>
      <c r="O500" s="22"/>
      <c r="P500" s="22"/>
      <c r="Q500" s="22"/>
    </row>
    <row r="501" spans="10:17" x14ac:dyDescent="0.25">
      <c r="J501" s="22"/>
      <c r="K501" s="22"/>
      <c r="L501" s="22"/>
      <c r="M501" s="22"/>
      <c r="N501" s="22"/>
      <c r="O501" s="22"/>
      <c r="P501" s="22"/>
      <c r="Q501" s="22"/>
    </row>
    <row r="502" spans="10:17" x14ac:dyDescent="0.25">
      <c r="J502" s="22"/>
      <c r="K502" s="22"/>
      <c r="L502" s="22"/>
      <c r="M502" s="22"/>
      <c r="N502" s="22"/>
      <c r="O502" s="22"/>
      <c r="P502" s="22"/>
      <c r="Q502" s="22"/>
    </row>
    <row r="503" spans="10:17" x14ac:dyDescent="0.25">
      <c r="J503" s="22"/>
      <c r="K503" s="22"/>
      <c r="L503" s="22"/>
      <c r="M503" s="22"/>
      <c r="N503" s="22"/>
      <c r="O503" s="22"/>
      <c r="P503" s="22"/>
      <c r="Q503" s="22"/>
    </row>
    <row r="504" spans="10:17" x14ac:dyDescent="0.25">
      <c r="J504" s="22"/>
      <c r="K504" s="22"/>
      <c r="L504" s="22"/>
      <c r="M504" s="22"/>
      <c r="N504" s="22"/>
      <c r="O504" s="22"/>
      <c r="P504" s="22"/>
      <c r="Q504" s="22"/>
    </row>
    <row r="505" spans="10:17" x14ac:dyDescent="0.25">
      <c r="J505" s="22"/>
      <c r="K505" s="22"/>
      <c r="L505" s="22"/>
      <c r="M505" s="22"/>
      <c r="N505" s="22"/>
      <c r="O505" s="22"/>
      <c r="P505" s="22"/>
      <c r="Q505" s="22"/>
    </row>
    <row r="506" spans="10:17" x14ac:dyDescent="0.25">
      <c r="J506" s="22"/>
      <c r="K506" s="22"/>
      <c r="L506" s="22"/>
      <c r="M506" s="22"/>
      <c r="N506" s="22"/>
      <c r="O506" s="22"/>
      <c r="P506" s="22"/>
      <c r="Q506" s="22"/>
    </row>
    <row r="507" spans="10:17" x14ac:dyDescent="0.25">
      <c r="J507" s="22"/>
      <c r="K507" s="22"/>
      <c r="L507" s="22"/>
      <c r="M507" s="22"/>
      <c r="N507" s="22"/>
      <c r="O507" s="22"/>
      <c r="P507" s="22"/>
      <c r="Q507" s="22"/>
    </row>
    <row r="508" spans="10:17" x14ac:dyDescent="0.25">
      <c r="J508" s="22"/>
      <c r="K508" s="22"/>
      <c r="L508" s="22"/>
      <c r="M508" s="22"/>
      <c r="N508" s="22"/>
      <c r="O508" s="22"/>
      <c r="P508" s="22"/>
      <c r="Q508" s="22"/>
    </row>
    <row r="509" spans="10:17" x14ac:dyDescent="0.25">
      <c r="J509" s="22"/>
      <c r="K509" s="22"/>
      <c r="L509" s="22"/>
      <c r="M509" s="22"/>
      <c r="N509" s="22"/>
      <c r="O509" s="22"/>
      <c r="P509" s="22"/>
      <c r="Q509" s="22"/>
    </row>
    <row r="510" spans="10:17" x14ac:dyDescent="0.25">
      <c r="J510" s="22"/>
      <c r="K510" s="22"/>
      <c r="L510" s="22"/>
      <c r="M510" s="22"/>
      <c r="N510" s="22"/>
      <c r="O510" s="22"/>
      <c r="P510" s="22"/>
      <c r="Q510" s="22"/>
    </row>
    <row r="511" spans="10:17" x14ac:dyDescent="0.25">
      <c r="J511" s="22"/>
      <c r="K511" s="22"/>
      <c r="L511" s="22"/>
      <c r="M511" s="22"/>
      <c r="N511" s="22"/>
      <c r="O511" s="22"/>
      <c r="P511" s="22"/>
      <c r="Q511" s="22"/>
    </row>
    <row r="512" spans="10:17" x14ac:dyDescent="0.25">
      <c r="J512" s="22"/>
      <c r="K512" s="22"/>
      <c r="L512" s="22"/>
      <c r="M512" s="22"/>
      <c r="N512" s="22"/>
      <c r="O512" s="22"/>
      <c r="P512" s="22"/>
      <c r="Q512" s="22"/>
    </row>
    <row r="513" spans="10:17" x14ac:dyDescent="0.25">
      <c r="J513" s="22"/>
      <c r="K513" s="22"/>
      <c r="L513" s="22"/>
      <c r="M513" s="22"/>
      <c r="N513" s="22"/>
      <c r="O513" s="22"/>
      <c r="P513" s="22"/>
      <c r="Q513" s="22"/>
    </row>
    <row r="514" spans="10:17" x14ac:dyDescent="0.25">
      <c r="J514" s="22"/>
      <c r="K514" s="22"/>
      <c r="L514" s="22"/>
      <c r="M514" s="22"/>
      <c r="N514" s="22"/>
      <c r="O514" s="22"/>
      <c r="P514" s="22"/>
      <c r="Q514" s="22"/>
    </row>
    <row r="515" spans="10:17" x14ac:dyDescent="0.25">
      <c r="J515" s="22"/>
      <c r="K515" s="22"/>
      <c r="L515" s="22"/>
      <c r="M515" s="22"/>
      <c r="N515" s="22"/>
      <c r="O515" s="22"/>
      <c r="P515" s="22"/>
      <c r="Q515" s="22"/>
    </row>
    <row r="516" spans="10:17" x14ac:dyDescent="0.25">
      <c r="J516" s="22"/>
      <c r="K516" s="22"/>
      <c r="L516" s="22"/>
      <c r="M516" s="22"/>
      <c r="N516" s="22"/>
      <c r="O516" s="22"/>
      <c r="P516" s="22"/>
      <c r="Q516" s="22"/>
    </row>
    <row r="517" spans="10:17" x14ac:dyDescent="0.25">
      <c r="J517" s="22"/>
      <c r="K517" s="22"/>
      <c r="L517" s="22"/>
      <c r="M517" s="22"/>
      <c r="N517" s="22"/>
      <c r="O517" s="22"/>
      <c r="P517" s="22"/>
      <c r="Q517" s="22"/>
    </row>
    <row r="518" spans="10:17" x14ac:dyDescent="0.25">
      <c r="J518" s="22"/>
      <c r="K518" s="22"/>
      <c r="L518" s="22"/>
      <c r="M518" s="22"/>
      <c r="N518" s="22"/>
      <c r="O518" s="22"/>
      <c r="P518" s="22"/>
      <c r="Q518" s="22"/>
    </row>
    <row r="519" spans="10:17" x14ac:dyDescent="0.25">
      <c r="J519" s="22"/>
      <c r="K519" s="22"/>
      <c r="L519" s="22"/>
      <c r="M519" s="22"/>
      <c r="N519" s="22"/>
      <c r="O519" s="22"/>
      <c r="P519" s="22"/>
      <c r="Q519" s="22"/>
    </row>
    <row r="520" spans="10:17" x14ac:dyDescent="0.25">
      <c r="J520" s="22"/>
      <c r="K520" s="22"/>
      <c r="L520" s="22"/>
      <c r="M520" s="22"/>
      <c r="N520" s="22"/>
      <c r="O520" s="22"/>
      <c r="P520" s="22"/>
      <c r="Q520" s="22"/>
    </row>
    <row r="521" spans="10:17" x14ac:dyDescent="0.25">
      <c r="J521" s="22"/>
      <c r="K521" s="22"/>
      <c r="L521" s="22"/>
      <c r="M521" s="22"/>
      <c r="N521" s="22"/>
      <c r="O521" s="22"/>
      <c r="P521" s="22"/>
      <c r="Q521" s="22"/>
    </row>
    <row r="522" spans="10:17" x14ac:dyDescent="0.25">
      <c r="J522" s="22"/>
      <c r="K522" s="22"/>
      <c r="L522" s="22"/>
      <c r="M522" s="22"/>
      <c r="N522" s="22"/>
      <c r="O522" s="22"/>
      <c r="P522" s="22"/>
      <c r="Q522" s="22"/>
    </row>
    <row r="523" spans="10:17" x14ac:dyDescent="0.25">
      <c r="J523" s="22"/>
      <c r="K523" s="22"/>
      <c r="L523" s="22"/>
      <c r="M523" s="22"/>
      <c r="N523" s="22"/>
      <c r="O523" s="22"/>
      <c r="P523" s="22"/>
      <c r="Q523" s="22"/>
    </row>
    <row r="524" spans="10:17" x14ac:dyDescent="0.25">
      <c r="J524" s="22"/>
      <c r="K524" s="22"/>
      <c r="L524" s="22"/>
      <c r="M524" s="22"/>
      <c r="N524" s="22"/>
      <c r="O524" s="22"/>
      <c r="P524" s="22"/>
      <c r="Q524" s="22"/>
    </row>
    <row r="525" spans="10:17" x14ac:dyDescent="0.25">
      <c r="J525" s="22"/>
      <c r="K525" s="22"/>
      <c r="L525" s="22"/>
      <c r="M525" s="22"/>
      <c r="N525" s="22"/>
      <c r="O525" s="22"/>
      <c r="P525" s="22"/>
      <c r="Q525" s="22"/>
    </row>
    <row r="526" spans="10:17" x14ac:dyDescent="0.25">
      <c r="J526" s="22"/>
      <c r="K526" s="22"/>
      <c r="L526" s="22"/>
      <c r="M526" s="22"/>
      <c r="N526" s="22"/>
      <c r="O526" s="22"/>
      <c r="P526" s="22"/>
      <c r="Q526" s="22"/>
    </row>
    <row r="527" spans="10:17" x14ac:dyDescent="0.25">
      <c r="J527" s="22"/>
      <c r="K527" s="22"/>
      <c r="L527" s="22"/>
      <c r="M527" s="22"/>
      <c r="N527" s="22"/>
      <c r="O527" s="22"/>
      <c r="P527" s="22"/>
      <c r="Q527" s="22"/>
    </row>
    <row r="528" spans="10:17" x14ac:dyDescent="0.25">
      <c r="J528" s="22"/>
      <c r="K528" s="22"/>
      <c r="L528" s="22"/>
      <c r="M528" s="22"/>
      <c r="N528" s="22"/>
      <c r="O528" s="22"/>
      <c r="P528" s="22"/>
      <c r="Q528" s="22"/>
    </row>
    <row r="529" spans="10:17" x14ac:dyDescent="0.25">
      <c r="J529" s="22"/>
      <c r="K529" s="22"/>
      <c r="L529" s="22"/>
      <c r="M529" s="22"/>
      <c r="N529" s="22"/>
      <c r="O529" s="22"/>
      <c r="P529" s="22"/>
      <c r="Q529" s="22"/>
    </row>
    <row r="530" spans="10:17" x14ac:dyDescent="0.25">
      <c r="J530" s="22"/>
      <c r="K530" s="22"/>
      <c r="L530" s="22"/>
      <c r="M530" s="22"/>
      <c r="N530" s="22"/>
      <c r="O530" s="22"/>
      <c r="P530" s="22"/>
      <c r="Q530" s="22"/>
    </row>
    <row r="531" spans="10:17" x14ac:dyDescent="0.25">
      <c r="J531" s="22"/>
      <c r="K531" s="22"/>
      <c r="L531" s="22"/>
      <c r="M531" s="22"/>
      <c r="N531" s="22"/>
      <c r="O531" s="22"/>
      <c r="P531" s="22"/>
      <c r="Q531" s="22"/>
    </row>
    <row r="532" spans="10:17" x14ac:dyDescent="0.25">
      <c r="J532" s="22"/>
      <c r="K532" s="22"/>
      <c r="L532" s="22"/>
      <c r="M532" s="22"/>
      <c r="N532" s="22"/>
      <c r="O532" s="22"/>
      <c r="P532" s="22"/>
      <c r="Q532" s="22"/>
    </row>
    <row r="533" spans="10:17" x14ac:dyDescent="0.25">
      <c r="J533" s="22"/>
      <c r="K533" s="22"/>
      <c r="L533" s="22"/>
      <c r="M533" s="22"/>
      <c r="N533" s="22"/>
      <c r="O533" s="22"/>
      <c r="P533" s="22"/>
      <c r="Q533" s="22"/>
    </row>
    <row r="534" spans="10:17" x14ac:dyDescent="0.25">
      <c r="J534" s="22"/>
      <c r="K534" s="22"/>
      <c r="L534" s="22"/>
      <c r="M534" s="22"/>
      <c r="N534" s="22"/>
      <c r="O534" s="22"/>
      <c r="P534" s="22"/>
      <c r="Q534" s="22"/>
    </row>
    <row r="535" spans="10:17" x14ac:dyDescent="0.25">
      <c r="J535" s="22"/>
      <c r="K535" s="22"/>
      <c r="L535" s="22"/>
      <c r="M535" s="22"/>
      <c r="N535" s="22"/>
      <c r="O535" s="22"/>
      <c r="P535" s="22"/>
      <c r="Q535" s="22"/>
    </row>
    <row r="536" spans="10:17" x14ac:dyDescent="0.25">
      <c r="J536" s="22"/>
      <c r="K536" s="22"/>
      <c r="L536" s="22"/>
      <c r="M536" s="22"/>
      <c r="N536" s="22"/>
      <c r="O536" s="22"/>
      <c r="P536" s="22"/>
      <c r="Q536" s="22"/>
    </row>
    <row r="537" spans="10:17" x14ac:dyDescent="0.25">
      <c r="J537" s="22"/>
      <c r="K537" s="22"/>
      <c r="L537" s="22"/>
      <c r="M537" s="22"/>
      <c r="N537" s="22"/>
      <c r="O537" s="22"/>
      <c r="P537" s="22"/>
      <c r="Q537" s="22"/>
    </row>
    <row r="538" spans="10:17" x14ac:dyDescent="0.25">
      <c r="J538" s="22"/>
      <c r="K538" s="22"/>
      <c r="L538" s="22"/>
      <c r="M538" s="22"/>
      <c r="N538" s="22"/>
      <c r="O538" s="22"/>
      <c r="P538" s="22"/>
      <c r="Q538" s="22"/>
    </row>
    <row r="539" spans="10:17" x14ac:dyDescent="0.25">
      <c r="J539" s="22"/>
      <c r="K539" s="22"/>
      <c r="L539" s="22"/>
      <c r="M539" s="22"/>
      <c r="N539" s="22"/>
      <c r="O539" s="22"/>
      <c r="P539" s="22"/>
      <c r="Q539" s="22"/>
    </row>
    <row r="540" spans="10:17" x14ac:dyDescent="0.25">
      <c r="J540" s="22"/>
      <c r="K540" s="22"/>
      <c r="L540" s="22"/>
      <c r="M540" s="22"/>
      <c r="N540" s="22"/>
      <c r="O540" s="22"/>
      <c r="P540" s="22"/>
      <c r="Q540" s="22"/>
    </row>
    <row r="541" spans="10:17" x14ac:dyDescent="0.25">
      <c r="J541" s="22"/>
      <c r="K541" s="22"/>
      <c r="L541" s="22"/>
      <c r="M541" s="22"/>
      <c r="N541" s="22"/>
      <c r="O541" s="22"/>
      <c r="P541" s="22"/>
      <c r="Q541" s="22"/>
    </row>
    <row r="542" spans="10:17" x14ac:dyDescent="0.25">
      <c r="J542" s="22"/>
      <c r="K542" s="22"/>
      <c r="L542" s="22"/>
      <c r="M542" s="22"/>
      <c r="N542" s="22"/>
      <c r="O542" s="22"/>
      <c r="P542" s="22"/>
      <c r="Q542" s="22"/>
    </row>
    <row r="543" spans="10:17" x14ac:dyDescent="0.25">
      <c r="J543" s="22"/>
      <c r="K543" s="22"/>
      <c r="L543" s="22"/>
      <c r="M543" s="22"/>
      <c r="N543" s="22"/>
      <c r="O543" s="22"/>
      <c r="P543" s="22"/>
      <c r="Q543" s="22"/>
    </row>
    <row r="544" spans="10:17" x14ac:dyDescent="0.25">
      <c r="J544" s="22"/>
      <c r="K544" s="22"/>
      <c r="L544" s="22"/>
      <c r="M544" s="22"/>
      <c r="N544" s="22"/>
      <c r="O544" s="22"/>
      <c r="P544" s="22"/>
      <c r="Q544" s="22"/>
    </row>
    <row r="545" spans="10:17" x14ac:dyDescent="0.25">
      <c r="J545" s="22"/>
      <c r="K545" s="22"/>
      <c r="L545" s="22"/>
      <c r="M545" s="22"/>
      <c r="N545" s="22"/>
      <c r="O545" s="22"/>
      <c r="P545" s="22"/>
      <c r="Q545" s="22"/>
    </row>
    <row r="546" spans="10:17" x14ac:dyDescent="0.25">
      <c r="J546" s="22"/>
      <c r="K546" s="22"/>
      <c r="L546" s="22"/>
      <c r="M546" s="22"/>
      <c r="N546" s="22"/>
      <c r="O546" s="22"/>
      <c r="P546" s="22"/>
      <c r="Q546" s="22"/>
    </row>
    <row r="547" spans="10:17" x14ac:dyDescent="0.25">
      <c r="J547" s="22"/>
      <c r="K547" s="22"/>
      <c r="L547" s="22"/>
      <c r="M547" s="22"/>
      <c r="N547" s="22"/>
      <c r="O547" s="22"/>
      <c r="P547" s="22"/>
      <c r="Q547" s="22"/>
    </row>
    <row r="548" spans="10:17" x14ac:dyDescent="0.25">
      <c r="J548" s="22"/>
      <c r="K548" s="22"/>
      <c r="L548" s="22"/>
      <c r="M548" s="22"/>
      <c r="N548" s="22"/>
      <c r="O548" s="22"/>
      <c r="P548" s="22"/>
      <c r="Q548" s="22"/>
    </row>
    <row r="549" spans="10:17" x14ac:dyDescent="0.25">
      <c r="J549" s="22"/>
      <c r="K549" s="22"/>
      <c r="L549" s="22"/>
      <c r="M549" s="22"/>
      <c r="N549" s="22"/>
      <c r="O549" s="22"/>
      <c r="P549" s="22"/>
      <c r="Q549" s="22"/>
    </row>
    <row r="550" spans="10:19" x14ac:dyDescent="0.25">
      <c r="J550" s="22"/>
      <c r="K550" s="22"/>
      <c r="L550" s="22"/>
      <c r="M550" s="22"/>
      <c r="N550" s="22"/>
      <c r="O550" s="22"/>
      <c r="P550" s="22"/>
      <c r="Q550" s="22"/>
      <c r="R550" s="22"/>
      <c r="S550" s="22"/>
    </row>
    <row r="551" spans="10:19" x14ac:dyDescent="0.25">
      <c r="J551" s="22"/>
      <c r="K551" s="22"/>
      <c r="L551" s="22"/>
      <c r="M551" s="22"/>
      <c r="N551" s="22"/>
      <c r="O551" s="22"/>
      <c r="P551" s="22"/>
      <c r="Q551" s="22"/>
      <c r="R551" s="22"/>
      <c r="S551" s="22"/>
    </row>
    <row r="552" spans="10:19" x14ac:dyDescent="0.25">
      <c r="J552" s="22"/>
      <c r="K552" s="22"/>
      <c r="L552" s="22"/>
      <c r="M552" s="22"/>
      <c r="N552" s="22"/>
      <c r="O552" s="22"/>
      <c r="P552" s="22"/>
      <c r="Q552" s="22"/>
      <c r="R552" s="22"/>
      <c r="S552" s="22"/>
    </row>
    <row r="553" spans="10:19" x14ac:dyDescent="0.25">
      <c r="J553" s="22"/>
      <c r="K553" s="22"/>
      <c r="L553" s="22"/>
      <c r="M553" s="22"/>
      <c r="N553" s="22"/>
      <c r="O553" s="22"/>
      <c r="P553" s="22"/>
      <c r="Q553" s="22"/>
      <c r="R553" s="22"/>
      <c r="S553" s="22"/>
    </row>
    <row r="554" spans="10:19" x14ac:dyDescent="0.25">
      <c r="J554" s="22"/>
      <c r="K554" s="22"/>
      <c r="L554" s="22"/>
      <c r="M554" s="22"/>
      <c r="N554" s="22"/>
      <c r="O554" s="22"/>
      <c r="P554" s="22"/>
      <c r="Q554" s="22"/>
      <c r="R554" s="22"/>
      <c r="S554" s="22"/>
    </row>
    <row r="555" spans="10:19" x14ac:dyDescent="0.25">
      <c r="J555" s="22"/>
      <c r="K555" s="22"/>
      <c r="L555" s="22"/>
      <c r="M555" s="22"/>
      <c r="N555" s="22"/>
      <c r="O555" s="22"/>
      <c r="P555" s="22"/>
      <c r="Q555" s="22"/>
      <c r="R555" s="22"/>
      <c r="S555" s="22"/>
    </row>
    <row r="556" spans="10:19" x14ac:dyDescent="0.25">
      <c r="J556" s="22"/>
      <c r="K556" s="22"/>
      <c r="L556" s="22"/>
      <c r="M556" s="22"/>
      <c r="N556" s="22"/>
      <c r="O556" s="22"/>
      <c r="P556" s="22"/>
      <c r="Q556" s="22"/>
      <c r="R556" s="22"/>
      <c r="S556" s="22"/>
    </row>
    <row r="557" spans="10:19" x14ac:dyDescent="0.25">
      <c r="J557" s="22"/>
      <c r="K557" s="22"/>
      <c r="L557" s="22"/>
      <c r="M557" s="22"/>
      <c r="N557" s="22"/>
      <c r="O557" s="22"/>
      <c r="P557" s="22"/>
      <c r="Q557" s="22"/>
      <c r="R557" s="22"/>
      <c r="S557" s="22"/>
    </row>
    <row r="558" spans="10:19" x14ac:dyDescent="0.25">
      <c r="J558" s="22"/>
      <c r="K558" s="22"/>
      <c r="L558" s="22"/>
      <c r="M558" s="22"/>
      <c r="N558" s="22"/>
      <c r="O558" s="22"/>
      <c r="P558" s="22"/>
      <c r="Q558" s="22"/>
      <c r="R558" s="22"/>
      <c r="S558" s="22"/>
    </row>
    <row r="559" spans="10:19" x14ac:dyDescent="0.25">
      <c r="J559" s="22"/>
      <c r="K559" s="22"/>
      <c r="L559" s="22"/>
      <c r="M559" s="22"/>
      <c r="N559" s="22"/>
      <c r="O559" s="22"/>
      <c r="P559" s="22"/>
      <c r="Q559" s="22"/>
      <c r="R559" s="22"/>
      <c r="S559" s="22"/>
    </row>
    <row r="560" spans="10:19" x14ac:dyDescent="0.25">
      <c r="J560" s="22"/>
      <c r="K560" s="22"/>
      <c r="L560" s="22"/>
      <c r="M560" s="22"/>
      <c r="N560" s="22"/>
      <c r="O560" s="22"/>
      <c r="P560" s="22"/>
      <c r="Q560" s="22"/>
      <c r="R560" s="22"/>
      <c r="S560" s="22"/>
    </row>
    <row r="561" spans="10:19" x14ac:dyDescent="0.25">
      <c r="J561" s="22"/>
      <c r="K561" s="22"/>
      <c r="L561" s="22"/>
      <c r="M561" s="22"/>
      <c r="N561" s="22"/>
      <c r="O561" s="22"/>
      <c r="P561" s="22"/>
      <c r="Q561" s="22"/>
      <c r="R561" s="22"/>
      <c r="S561" s="22"/>
    </row>
    <row r="562" spans="10:19" x14ac:dyDescent="0.25">
      <c r="J562" s="22"/>
      <c r="K562" s="22"/>
      <c r="L562" s="22"/>
      <c r="M562" s="22"/>
      <c r="N562" s="22"/>
      <c r="O562" s="22"/>
      <c r="P562" s="22"/>
      <c r="Q562" s="22"/>
      <c r="R562" s="22"/>
      <c r="S562" s="22"/>
    </row>
    <row r="563" spans="10:19" x14ac:dyDescent="0.25">
      <c r="J563" s="22"/>
      <c r="K563" s="22"/>
      <c r="L563" s="22"/>
      <c r="M563" s="22"/>
      <c r="N563" s="22"/>
      <c r="O563" s="22"/>
      <c r="P563" s="22"/>
      <c r="Q563" s="22"/>
      <c r="R563" s="22"/>
      <c r="S563" s="22"/>
    </row>
    <row r="564" spans="10:19" x14ac:dyDescent="0.25">
      <c r="J564" s="22"/>
      <c r="K564" s="22"/>
      <c r="L564" s="22"/>
      <c r="M564" s="22"/>
      <c r="N564" s="22"/>
      <c r="O564" s="22"/>
      <c r="P564" s="22"/>
      <c r="Q564" s="22"/>
      <c r="R564" s="22"/>
      <c r="S564" s="22"/>
    </row>
    <row r="565" spans="10:19" x14ac:dyDescent="0.25">
      <c r="J565" s="22"/>
      <c r="K565" s="22"/>
      <c r="L565" s="22"/>
      <c r="M565" s="22"/>
      <c r="N565" s="22"/>
      <c r="O565" s="22"/>
      <c r="P565" s="22"/>
      <c r="Q565" s="22"/>
      <c r="R565" s="22"/>
      <c r="S565" s="22"/>
    </row>
    <row r="566" spans="10:19" x14ac:dyDescent="0.25">
      <c r="J566" s="22"/>
      <c r="K566" s="22"/>
      <c r="L566" s="22"/>
      <c r="M566" s="22"/>
      <c r="N566" s="22"/>
      <c r="O566" s="22"/>
      <c r="P566" s="22"/>
      <c r="Q566" s="22"/>
      <c r="R566" s="22"/>
      <c r="S566" s="22"/>
    </row>
    <row r="567" spans="10:19" x14ac:dyDescent="0.25">
      <c r="J567" s="22"/>
      <c r="K567" s="22"/>
      <c r="L567" s="22"/>
      <c r="M567" s="22"/>
      <c r="N567" s="22"/>
      <c r="O567" s="22"/>
      <c r="P567" s="22"/>
      <c r="Q567" s="22"/>
      <c r="R567" s="22"/>
      <c r="S567" s="22"/>
    </row>
    <row r="568" spans="10:19" x14ac:dyDescent="0.25">
      <c r="J568" s="22"/>
      <c r="K568" s="22"/>
      <c r="L568" s="22"/>
      <c r="M568" s="22"/>
      <c r="N568" s="22"/>
      <c r="O568" s="22"/>
      <c r="P568" s="22"/>
      <c r="Q568" s="22"/>
      <c r="R568" s="22"/>
      <c r="S568" s="22"/>
    </row>
    <row r="569" spans="10:19" x14ac:dyDescent="0.25">
      <c r="J569" s="22"/>
      <c r="K569" s="22"/>
      <c r="L569" s="22"/>
      <c r="M569" s="22"/>
      <c r="N569" s="22"/>
      <c r="O569" s="22"/>
      <c r="P569" s="22"/>
      <c r="Q569" s="22"/>
      <c r="R569" s="22"/>
      <c r="S569" s="22"/>
    </row>
    <row r="570" spans="10:19" x14ac:dyDescent="0.25">
      <c r="J570" s="22"/>
      <c r="K570" s="22"/>
      <c r="L570" s="22"/>
      <c r="M570" s="22"/>
      <c r="N570" s="22"/>
      <c r="O570" s="22"/>
      <c r="P570" s="22"/>
      <c r="Q570" s="22"/>
      <c r="R570" s="22"/>
      <c r="S570" s="22"/>
    </row>
    <row r="571" spans="10:19" x14ac:dyDescent="0.25">
      <c r="J571" s="22"/>
      <c r="K571" s="22"/>
      <c r="L571" s="22"/>
      <c r="M571" s="22"/>
      <c r="N571" s="22"/>
      <c r="O571" s="22"/>
      <c r="P571" s="22"/>
      <c r="Q571" s="22"/>
      <c r="R571" s="22"/>
      <c r="S571" s="22"/>
    </row>
    <row r="572" spans="10:19" x14ac:dyDescent="0.25">
      <c r="J572" s="22"/>
      <c r="K572" s="22"/>
      <c r="L572" s="22"/>
      <c r="M572" s="22"/>
      <c r="N572" s="22"/>
      <c r="O572" s="22"/>
      <c r="P572" s="22"/>
      <c r="Q572" s="22"/>
      <c r="R572" s="22"/>
      <c r="S572" s="22"/>
    </row>
    <row r="573" spans="10:19" x14ac:dyDescent="0.25">
      <c r="J573" s="22"/>
      <c r="K573" s="22"/>
      <c r="L573" s="22"/>
      <c r="M573" s="22"/>
      <c r="N573" s="22"/>
      <c r="O573" s="22"/>
      <c r="P573" s="22"/>
      <c r="Q573" s="22"/>
      <c r="R573" s="22"/>
      <c r="S573" s="22"/>
    </row>
    <row r="574" spans="10:19" x14ac:dyDescent="0.25">
      <c r="J574" s="22"/>
      <c r="K574" s="22"/>
      <c r="L574" s="22"/>
      <c r="M574" s="22"/>
      <c r="N574" s="22"/>
      <c r="O574" s="22"/>
      <c r="P574" s="22"/>
      <c r="Q574" s="22"/>
      <c r="R574" s="22"/>
      <c r="S574" s="22"/>
    </row>
    <row r="575" spans="10:19" x14ac:dyDescent="0.25">
      <c r="J575" s="22"/>
      <c r="K575" s="22"/>
      <c r="L575" s="22"/>
      <c r="M575" s="22"/>
      <c r="N575" s="22"/>
      <c r="O575" s="22"/>
      <c r="P575" s="22"/>
      <c r="Q575" s="22"/>
      <c r="R575" s="22"/>
      <c r="S575" s="22"/>
    </row>
    <row r="576" spans="10:19" x14ac:dyDescent="0.25">
      <c r="J576" s="22"/>
      <c r="K576" s="22"/>
      <c r="L576" s="22"/>
      <c r="M576" s="22"/>
      <c r="N576" s="22"/>
      <c r="O576" s="22"/>
      <c r="P576" s="22"/>
      <c r="Q576" s="22"/>
      <c r="R576" s="22"/>
      <c r="S576" s="22"/>
    </row>
    <row r="577" spans="10:19" x14ac:dyDescent="0.25">
      <c r="J577" s="22"/>
      <c r="K577" s="22"/>
      <c r="L577" s="22"/>
      <c r="M577" s="22"/>
      <c r="N577" s="22"/>
      <c r="O577" s="22"/>
      <c r="P577" s="22"/>
      <c r="Q577" s="22"/>
      <c r="R577" s="22"/>
      <c r="S577" s="22"/>
    </row>
    <row r="578" spans="10:19" x14ac:dyDescent="0.25">
      <c r="J578" s="22"/>
      <c r="K578" s="22"/>
      <c r="L578" s="22"/>
      <c r="M578" s="22"/>
      <c r="N578" s="22"/>
      <c r="O578" s="22"/>
      <c r="P578" s="22"/>
      <c r="Q578" s="22"/>
      <c r="R578" s="22"/>
      <c r="S578" s="22"/>
    </row>
    <row r="579" spans="10:19" x14ac:dyDescent="0.25">
      <c r="J579" s="22"/>
      <c r="K579" s="22"/>
      <c r="L579" s="22"/>
      <c r="M579" s="22"/>
      <c r="N579" s="22"/>
      <c r="O579" s="22"/>
      <c r="P579" s="22"/>
      <c r="Q579" s="22"/>
      <c r="R579" s="22"/>
      <c r="S579" s="22"/>
    </row>
    <row r="580" spans="10:19" x14ac:dyDescent="0.25">
      <c r="J580" s="22"/>
      <c r="K580" s="22"/>
      <c r="L580" s="22"/>
      <c r="M580" s="22"/>
      <c r="N580" s="22"/>
      <c r="O580" s="22"/>
      <c r="P580" s="22"/>
      <c r="Q580" s="22"/>
      <c r="R580" s="22"/>
      <c r="S580" s="22"/>
    </row>
    <row r="581" spans="10:19" x14ac:dyDescent="0.25">
      <c r="J581" s="22"/>
      <c r="K581" s="22"/>
      <c r="L581" s="22"/>
      <c r="M581" s="22"/>
      <c r="N581" s="22"/>
      <c r="O581" s="22"/>
      <c r="P581" s="22"/>
      <c r="Q581" s="22"/>
      <c r="R581" s="22"/>
      <c r="S581" s="22"/>
    </row>
    <row r="582" spans="10:19" x14ac:dyDescent="0.25">
      <c r="J582" s="22"/>
      <c r="K582" s="22"/>
      <c r="L582" s="22"/>
      <c r="M582" s="22"/>
      <c r="N582" s="22"/>
      <c r="O582" s="22"/>
      <c r="P582" s="22"/>
      <c r="Q582" s="22"/>
      <c r="R582" s="22"/>
      <c r="S582" s="22"/>
    </row>
    <row r="583" spans="10:19" x14ac:dyDescent="0.25">
      <c r="J583" s="22"/>
      <c r="K583" s="22"/>
      <c r="L583" s="22"/>
      <c r="M583" s="22"/>
      <c r="N583" s="22"/>
      <c r="O583" s="22"/>
      <c r="P583" s="22"/>
      <c r="Q583" s="22"/>
      <c r="R583" s="22"/>
      <c r="S583" s="22"/>
    </row>
    <row r="584" spans="10:19" x14ac:dyDescent="0.25">
      <c r="J584" s="22"/>
      <c r="K584" s="22"/>
      <c r="L584" s="22"/>
      <c r="M584" s="22"/>
      <c r="N584" s="22"/>
      <c r="O584" s="22"/>
      <c r="P584" s="22"/>
      <c r="Q584" s="22"/>
      <c r="R584" s="22"/>
      <c r="S584" s="22"/>
    </row>
    <row r="585" spans="10:19" x14ac:dyDescent="0.25">
      <c r="J585" s="22"/>
      <c r="K585" s="22"/>
      <c r="L585" s="22"/>
      <c r="M585" s="22"/>
      <c r="N585" s="22"/>
      <c r="O585" s="22"/>
      <c r="P585" s="22"/>
      <c r="Q585" s="22"/>
      <c r="R585" s="22"/>
      <c r="S585" s="22"/>
    </row>
    <row r="586" spans="10:19" x14ac:dyDescent="0.25">
      <c r="J586" s="22"/>
      <c r="K586" s="22"/>
      <c r="L586" s="22"/>
      <c r="M586" s="22"/>
      <c r="N586" s="22"/>
      <c r="O586" s="22"/>
      <c r="P586" s="22"/>
      <c r="Q586" s="22"/>
      <c r="R586" s="22"/>
      <c r="S586" s="22"/>
    </row>
    <row r="587" spans="10:19" x14ac:dyDescent="0.25">
      <c r="J587" s="22"/>
      <c r="K587" s="22"/>
      <c r="L587" s="22"/>
      <c r="M587" s="22"/>
      <c r="N587" s="22"/>
      <c r="O587" s="22"/>
      <c r="P587" s="22"/>
      <c r="Q587" s="22"/>
      <c r="R587" s="22"/>
      <c r="S587" s="22"/>
    </row>
    <row r="588" spans="10:19" x14ac:dyDescent="0.25">
      <c r="J588" s="22"/>
      <c r="K588" s="22"/>
      <c r="L588" s="22"/>
      <c r="M588" s="22"/>
      <c r="N588" s="22"/>
      <c r="O588" s="22"/>
      <c r="P588" s="22"/>
      <c r="Q588" s="22"/>
      <c r="R588" s="22"/>
      <c r="S588" s="22"/>
    </row>
    <row r="589" spans="10:19" x14ac:dyDescent="0.25">
      <c r="J589" s="22"/>
      <c r="K589" s="22"/>
      <c r="L589" s="22"/>
      <c r="M589" s="22"/>
      <c r="N589" s="22"/>
      <c r="O589" s="22"/>
      <c r="P589" s="22"/>
      <c r="Q589" s="22"/>
      <c r="R589" s="22"/>
      <c r="S589" s="22"/>
    </row>
    <row r="590" spans="10:19" x14ac:dyDescent="0.25">
      <c r="J590" s="22"/>
      <c r="K590" s="22"/>
      <c r="L590" s="22"/>
      <c r="M590" s="22"/>
      <c r="N590" s="22"/>
      <c r="O590" s="22"/>
      <c r="P590" s="22"/>
      <c r="Q590" s="22"/>
      <c r="R590" s="22"/>
      <c r="S590" s="22"/>
    </row>
    <row r="591" spans="10:19" x14ac:dyDescent="0.25">
      <c r="J591" s="22"/>
      <c r="K591" s="22"/>
      <c r="L591" s="22"/>
      <c r="M591" s="22"/>
      <c r="N591" s="22"/>
      <c r="O591" s="22"/>
      <c r="P591" s="22"/>
      <c r="Q591" s="22"/>
      <c r="R591" s="22"/>
      <c r="S591" s="22"/>
    </row>
    <row r="592" spans="10:19" x14ac:dyDescent="0.25">
      <c r="J592" s="22"/>
      <c r="K592" s="22"/>
      <c r="L592" s="22"/>
      <c r="M592" s="22"/>
      <c r="N592" s="22"/>
      <c r="O592" s="22"/>
      <c r="P592" s="22"/>
      <c r="Q592" s="22"/>
      <c r="R592" s="22"/>
      <c r="S592" s="22"/>
    </row>
    <row r="593" spans="10:19" x14ac:dyDescent="0.25">
      <c r="J593" s="22"/>
      <c r="K593" s="22"/>
      <c r="L593" s="22"/>
      <c r="M593" s="22"/>
      <c r="N593" s="22"/>
      <c r="O593" s="22"/>
      <c r="P593" s="22"/>
      <c r="Q593" s="22"/>
      <c r="R593" s="22"/>
      <c r="S593" s="22"/>
    </row>
    <row r="594" spans="10:19" x14ac:dyDescent="0.25">
      <c r="J594" s="22"/>
      <c r="K594" s="22"/>
      <c r="L594" s="22"/>
      <c r="M594" s="22"/>
      <c r="N594" s="22"/>
      <c r="O594" s="22"/>
      <c r="P594" s="22"/>
      <c r="Q594" s="22"/>
      <c r="R594" s="22"/>
      <c r="S594" s="22"/>
    </row>
    <row r="595" spans="10:19" x14ac:dyDescent="0.25">
      <c r="J595" s="22"/>
      <c r="K595" s="22"/>
      <c r="L595" s="22"/>
      <c r="M595" s="22"/>
      <c r="N595" s="22"/>
      <c r="O595" s="22"/>
      <c r="P595" s="22"/>
      <c r="Q595" s="22"/>
      <c r="R595" s="22"/>
      <c r="S595" s="22"/>
    </row>
    <row r="596" spans="10:19" x14ac:dyDescent="0.25">
      <c r="J596" s="22"/>
      <c r="K596" s="22"/>
      <c r="L596" s="22"/>
      <c r="M596" s="22"/>
      <c r="N596" s="22"/>
      <c r="O596" s="22"/>
      <c r="P596" s="22"/>
      <c r="Q596" s="22"/>
      <c r="R596" s="22"/>
      <c r="S596" s="22"/>
    </row>
    <row r="597" spans="10:19" x14ac:dyDescent="0.25">
      <c r="J597" s="22"/>
      <c r="K597" s="22"/>
      <c r="L597" s="22"/>
      <c r="M597" s="22"/>
      <c r="N597" s="22"/>
      <c r="O597" s="22"/>
      <c r="P597" s="22"/>
      <c r="Q597" s="22"/>
      <c r="R597" s="22"/>
      <c r="S597" s="22"/>
    </row>
    <row r="598" spans="10:19" x14ac:dyDescent="0.25">
      <c r="J598" s="22"/>
      <c r="K598" s="22"/>
      <c r="L598" s="22"/>
      <c r="M598" s="22"/>
      <c r="N598" s="22"/>
      <c r="O598" s="22"/>
      <c r="P598" s="22"/>
      <c r="Q598" s="22"/>
      <c r="R598" s="22"/>
      <c r="S598" s="22"/>
    </row>
    <row r="599" spans="10:19" x14ac:dyDescent="0.25">
      <c r="J599" s="22"/>
      <c r="K599" s="22"/>
      <c r="L599" s="22"/>
      <c r="M599" s="22"/>
      <c r="N599" s="22"/>
      <c r="O599" s="22"/>
      <c r="P599" s="22"/>
      <c r="Q599" s="22"/>
      <c r="R599" s="22"/>
      <c r="S599" s="22"/>
    </row>
    <row r="600" spans="10:19" x14ac:dyDescent="0.25">
      <c r="J600" s="22"/>
      <c r="K600" s="22"/>
      <c r="L600" s="22"/>
      <c r="M600" s="22"/>
      <c r="N600" s="22"/>
      <c r="O600" s="22"/>
      <c r="P600" s="22"/>
      <c r="Q600" s="22"/>
      <c r="R600" s="22"/>
      <c r="S600" s="22"/>
    </row>
    <row r="601" spans="10:19" x14ac:dyDescent="0.25">
      <c r="J601" s="22"/>
      <c r="K601" s="22"/>
      <c r="L601" s="22"/>
      <c r="M601" s="22"/>
      <c r="N601" s="22"/>
      <c r="O601" s="22"/>
      <c r="P601" s="22"/>
      <c r="Q601" s="22"/>
      <c r="R601" s="22"/>
      <c r="S601" s="22"/>
    </row>
    <row r="602" spans="10:19" x14ac:dyDescent="0.25">
      <c r="J602" s="22"/>
      <c r="K602" s="22"/>
      <c r="L602" s="22"/>
      <c r="M602" s="22"/>
      <c r="N602" s="22"/>
      <c r="O602" s="22"/>
      <c r="P602" s="22"/>
      <c r="Q602" s="22"/>
      <c r="R602" s="22"/>
      <c r="S602" s="22"/>
    </row>
    <row r="603" spans="10:19" x14ac:dyDescent="0.25">
      <c r="J603" s="22"/>
      <c r="K603" s="22"/>
      <c r="L603" s="22"/>
      <c r="M603" s="22"/>
      <c r="N603" s="22"/>
      <c r="O603" s="22"/>
      <c r="P603" s="22"/>
      <c r="Q603" s="22"/>
      <c r="R603" s="22"/>
      <c r="S603" s="22"/>
    </row>
    <row r="604" spans="10:19" x14ac:dyDescent="0.25">
      <c r="J604" s="22"/>
      <c r="K604" s="22"/>
      <c r="L604" s="22"/>
      <c r="M604" s="22"/>
      <c r="N604" s="22"/>
      <c r="O604" s="22"/>
      <c r="P604" s="22"/>
      <c r="Q604" s="22"/>
      <c r="R604" s="22"/>
      <c r="S604" s="22"/>
    </row>
    <row r="605" spans="10:19" x14ac:dyDescent="0.25">
      <c r="J605" s="22"/>
      <c r="K605" s="22"/>
      <c r="L605" s="22"/>
      <c r="M605" s="22"/>
      <c r="N605" s="22"/>
      <c r="O605" s="22"/>
      <c r="P605" s="22"/>
      <c r="Q605" s="22"/>
      <c r="R605" s="22"/>
      <c r="S605" s="22"/>
    </row>
    <row r="606" spans="10:19" x14ac:dyDescent="0.25">
      <c r="J606" s="22"/>
      <c r="K606" s="22"/>
      <c r="L606" s="22"/>
      <c r="M606" s="22"/>
      <c r="N606" s="22"/>
      <c r="O606" s="22"/>
      <c r="P606" s="22"/>
      <c r="Q606" s="22"/>
      <c r="R606" s="22"/>
      <c r="S606" s="22"/>
    </row>
    <row r="607" spans="10:19" x14ac:dyDescent="0.25">
      <c r="J607" s="22"/>
      <c r="K607" s="22"/>
      <c r="L607" s="22"/>
      <c r="M607" s="22"/>
      <c r="N607" s="22"/>
      <c r="O607" s="22"/>
      <c r="P607" s="22"/>
      <c r="Q607" s="22"/>
      <c r="R607" s="22"/>
      <c r="S607" s="22"/>
    </row>
    <row r="608" spans="10:19" x14ac:dyDescent="0.25">
      <c r="J608" s="22"/>
      <c r="K608" s="22"/>
      <c r="L608" s="22"/>
      <c r="M608" s="22"/>
      <c r="N608" s="22"/>
      <c r="O608" s="22"/>
      <c r="P608" s="22"/>
      <c r="Q608" s="22"/>
      <c r="R608" s="22"/>
      <c r="S608" s="22"/>
    </row>
    <row r="609" spans="10:19" x14ac:dyDescent="0.25">
      <c r="J609" s="22"/>
      <c r="K609" s="22"/>
      <c r="L609" s="22"/>
      <c r="M609" s="22"/>
      <c r="N609" s="22"/>
      <c r="O609" s="22"/>
      <c r="P609" s="22"/>
      <c r="Q609" s="22"/>
      <c r="R609" s="22"/>
      <c r="S609" s="22"/>
    </row>
    <row r="610" spans="10:19" x14ac:dyDescent="0.25">
      <c r="J610" s="22"/>
      <c r="K610" s="22"/>
      <c r="L610" s="22"/>
      <c r="M610" s="22"/>
      <c r="N610" s="22"/>
      <c r="O610" s="22"/>
      <c r="P610" s="22"/>
      <c r="Q610" s="22"/>
      <c r="R610" s="22"/>
      <c r="S610" s="22"/>
    </row>
    <row r="611" spans="10:19" x14ac:dyDescent="0.25">
      <c r="J611" s="22"/>
      <c r="K611" s="22"/>
      <c r="L611" s="22"/>
      <c r="M611" s="22"/>
      <c r="N611" s="22"/>
      <c r="O611" s="22"/>
      <c r="P611" s="22"/>
      <c r="Q611" s="22"/>
      <c r="R611" s="22"/>
      <c r="S611" s="22"/>
    </row>
    <row r="612" spans="10:19" x14ac:dyDescent="0.25">
      <c r="J612" s="22"/>
      <c r="K612" s="22"/>
      <c r="L612" s="22"/>
      <c r="M612" s="22"/>
      <c r="N612" s="22"/>
      <c r="O612" s="22"/>
      <c r="P612" s="22"/>
      <c r="Q612" s="22"/>
      <c r="R612" s="22"/>
      <c r="S612" s="22"/>
    </row>
    <row r="613" spans="10:19" x14ac:dyDescent="0.25">
      <c r="J613" s="22"/>
      <c r="K613" s="22"/>
      <c r="L613" s="22"/>
      <c r="M613" s="22"/>
      <c r="N613" s="22"/>
      <c r="O613" s="22"/>
      <c r="P613" s="22"/>
      <c r="Q613" s="22"/>
      <c r="R613" s="22"/>
      <c r="S613" s="22"/>
    </row>
    <row r="614" spans="10:19" x14ac:dyDescent="0.25">
      <c r="J614" s="22"/>
      <c r="K614" s="22"/>
      <c r="L614" s="22"/>
      <c r="M614" s="22"/>
      <c r="N614" s="22"/>
      <c r="O614" s="22"/>
      <c r="P614" s="22"/>
      <c r="Q614" s="22"/>
      <c r="R614" s="22"/>
      <c r="S614" s="22"/>
    </row>
    <row r="615" spans="10:19" x14ac:dyDescent="0.25">
      <c r="J615" s="22"/>
      <c r="K615" s="22"/>
      <c r="L615" s="22"/>
      <c r="M615" s="22"/>
      <c r="N615" s="22"/>
      <c r="O615" s="22"/>
      <c r="P615" s="22"/>
      <c r="Q615" s="22"/>
      <c r="R615" s="22"/>
      <c r="S615" s="22"/>
    </row>
    <row r="616" spans="10:19" x14ac:dyDescent="0.25">
      <c r="J616" s="22"/>
      <c r="K616" s="22"/>
      <c r="L616" s="22"/>
      <c r="M616" s="22"/>
      <c r="N616" s="22"/>
      <c r="O616" s="22"/>
      <c r="P616" s="22"/>
      <c r="Q616" s="22"/>
      <c r="R616" s="22"/>
      <c r="S616" s="22"/>
    </row>
    <row r="617" spans="10:19" x14ac:dyDescent="0.25">
      <c r="J617" s="22"/>
      <c r="K617" s="22"/>
      <c r="L617" s="22"/>
      <c r="M617" s="22"/>
      <c r="N617" s="22"/>
      <c r="O617" s="22"/>
      <c r="P617" s="22"/>
      <c r="Q617" s="22"/>
      <c r="R617" s="22"/>
      <c r="S617" s="22"/>
    </row>
    <row r="618" spans="10:19" x14ac:dyDescent="0.25">
      <c r="J618" s="22"/>
      <c r="K618" s="22"/>
      <c r="L618" s="22"/>
      <c r="M618" s="22"/>
      <c r="N618" s="22"/>
      <c r="O618" s="22"/>
      <c r="P618" s="22"/>
      <c r="Q618" s="22"/>
      <c r="R618" s="22"/>
      <c r="S618" s="22"/>
    </row>
    <row r="619" spans="10:19" x14ac:dyDescent="0.25">
      <c r="J619" s="22"/>
      <c r="K619" s="22"/>
      <c r="L619" s="22"/>
      <c r="M619" s="22"/>
      <c r="N619" s="22"/>
      <c r="O619" s="22"/>
      <c r="P619" s="22"/>
      <c r="Q619" s="22"/>
      <c r="R619" s="22"/>
      <c r="S619" s="22"/>
    </row>
    <row r="620" spans="10:19" x14ac:dyDescent="0.25">
      <c r="J620" s="22"/>
      <c r="K620" s="22"/>
      <c r="L620" s="22"/>
      <c r="M620" s="22"/>
      <c r="N620" s="22"/>
      <c r="O620" s="22"/>
      <c r="P620" s="22"/>
      <c r="Q620" s="22"/>
      <c r="R620" s="22"/>
      <c r="S620" s="22"/>
    </row>
    <row r="621" spans="10:19" x14ac:dyDescent="0.25">
      <c r="J621" s="22"/>
      <c r="K621" s="22"/>
      <c r="L621" s="22"/>
      <c r="M621" s="22"/>
      <c r="N621" s="22"/>
      <c r="O621" s="22"/>
      <c r="P621" s="22"/>
      <c r="Q621" s="22"/>
      <c r="R621" s="22"/>
      <c r="S621" s="22"/>
    </row>
    <row r="622" spans="10:19" x14ac:dyDescent="0.25">
      <c r="J622" s="22"/>
      <c r="K622" s="22"/>
      <c r="L622" s="22"/>
      <c r="M622" s="22"/>
      <c r="N622" s="22"/>
      <c r="O622" s="22"/>
      <c r="P622" s="22"/>
      <c r="Q622" s="22"/>
      <c r="R622" s="22"/>
      <c r="S622" s="22"/>
    </row>
    <row r="623" spans="10:19" x14ac:dyDescent="0.25">
      <c r="J623" s="22"/>
      <c r="K623" s="22"/>
      <c r="L623" s="22"/>
      <c r="M623" s="22"/>
      <c r="N623" s="22"/>
      <c r="O623" s="22"/>
      <c r="P623" s="22"/>
      <c r="Q623" s="22"/>
      <c r="R623" s="22"/>
      <c r="S623" s="22"/>
    </row>
    <row r="624" spans="10:19" x14ac:dyDescent="0.25">
      <c r="J624" s="22"/>
      <c r="K624" s="22"/>
      <c r="L624" s="22"/>
      <c r="M624" s="22"/>
      <c r="N624" s="22"/>
      <c r="O624" s="22"/>
      <c r="P624" s="22"/>
      <c r="Q624" s="22"/>
      <c r="R624" s="22"/>
      <c r="S624" s="22"/>
    </row>
    <row r="625" spans="10:19" x14ac:dyDescent="0.25">
      <c r="J625" s="22"/>
      <c r="K625" s="22"/>
      <c r="L625" s="22"/>
      <c r="M625" s="22"/>
      <c r="N625" s="22"/>
      <c r="O625" s="22"/>
      <c r="P625" s="22"/>
      <c r="Q625" s="22"/>
      <c r="R625" s="22"/>
      <c r="S625" s="22"/>
    </row>
    <row r="626" spans="10:19" x14ac:dyDescent="0.25">
      <c r="J626" s="22"/>
      <c r="K626" s="22"/>
      <c r="L626" s="22"/>
      <c r="M626" s="22"/>
      <c r="N626" s="22"/>
      <c r="O626" s="22"/>
      <c r="P626" s="22"/>
      <c r="Q626" s="22"/>
      <c r="R626" s="22"/>
      <c r="S626" s="22"/>
    </row>
    <row r="627" spans="10:19" x14ac:dyDescent="0.25">
      <c r="J627" s="22"/>
      <c r="K627" s="22"/>
      <c r="L627" s="22"/>
      <c r="M627" s="22"/>
      <c r="N627" s="22"/>
      <c r="O627" s="22"/>
      <c r="P627" s="22"/>
      <c r="Q627" s="22"/>
      <c r="R627" s="22"/>
      <c r="S627" s="22"/>
    </row>
    <row r="628" spans="10:19" x14ac:dyDescent="0.25">
      <c r="J628" s="22"/>
      <c r="K628" s="22"/>
      <c r="L628" s="22"/>
      <c r="M628" s="22"/>
      <c r="N628" s="22"/>
      <c r="O628" s="22"/>
      <c r="P628" s="22"/>
      <c r="Q628" s="22"/>
      <c r="R628" s="22"/>
      <c r="S628" s="22"/>
    </row>
    <row r="629" spans="10:19" x14ac:dyDescent="0.25">
      <c r="J629" s="22"/>
      <c r="K629" s="22"/>
      <c r="L629" s="22"/>
      <c r="M629" s="22"/>
      <c r="N629" s="22"/>
      <c r="O629" s="22"/>
      <c r="P629" s="22"/>
      <c r="Q629" s="22"/>
      <c r="R629" s="22"/>
      <c r="S629" s="22"/>
    </row>
    <row r="630" spans="10:19" x14ac:dyDescent="0.25">
      <c r="J630" s="22"/>
      <c r="K630" s="22"/>
      <c r="L630" s="22"/>
      <c r="M630" s="22"/>
      <c r="N630" s="22"/>
      <c r="O630" s="22"/>
      <c r="P630" s="22"/>
      <c r="Q630" s="22"/>
      <c r="R630" s="22"/>
      <c r="S630" s="22"/>
    </row>
    <row r="631" spans="10:19" x14ac:dyDescent="0.25">
      <c r="J631" s="22"/>
      <c r="K631" s="22"/>
      <c r="L631" s="22"/>
      <c r="M631" s="22"/>
      <c r="N631" s="22"/>
      <c r="O631" s="22"/>
      <c r="P631" s="22"/>
      <c r="Q631" s="22"/>
      <c r="R631" s="22"/>
      <c r="S631" s="22"/>
    </row>
    <row r="632" spans="10:19" x14ac:dyDescent="0.25">
      <c r="J632" s="22"/>
      <c r="K632" s="22"/>
      <c r="L632" s="22"/>
      <c r="M632" s="22"/>
      <c r="N632" s="22"/>
      <c r="O632" s="22"/>
      <c r="P632" s="22"/>
      <c r="Q632" s="22"/>
      <c r="R632" s="22"/>
      <c r="S632" s="22"/>
    </row>
    <row r="633" spans="10:19" x14ac:dyDescent="0.25">
      <c r="J633" s="22"/>
      <c r="K633" s="22"/>
      <c r="L633" s="22"/>
      <c r="M633" s="22"/>
      <c r="N633" s="22"/>
      <c r="O633" s="22"/>
      <c r="P633" s="22"/>
      <c r="Q633" s="22"/>
      <c r="R633" s="22"/>
      <c r="S633" s="22"/>
    </row>
    <row r="634" spans="10:19" x14ac:dyDescent="0.25">
      <c r="J634" s="22"/>
      <c r="K634" s="22"/>
      <c r="L634" s="22"/>
      <c r="M634" s="22"/>
      <c r="N634" s="22"/>
      <c r="O634" s="22"/>
      <c r="P634" s="22"/>
      <c r="Q634" s="22"/>
      <c r="R634" s="22"/>
      <c r="S634" s="22"/>
    </row>
    <row r="635" spans="10:19" x14ac:dyDescent="0.25">
      <c r="J635" s="22"/>
      <c r="K635" s="22"/>
      <c r="L635" s="22"/>
      <c r="M635" s="22"/>
      <c r="N635" s="22"/>
      <c r="O635" s="22"/>
      <c r="P635" s="22"/>
      <c r="Q635" s="22"/>
      <c r="R635" s="22"/>
      <c r="S635" s="22"/>
    </row>
    <row r="636" spans="10:19" x14ac:dyDescent="0.25">
      <c r="J636" s="22"/>
      <c r="K636" s="22"/>
      <c r="L636" s="22"/>
      <c r="M636" s="22"/>
      <c r="N636" s="22"/>
      <c r="O636" s="22"/>
      <c r="P636" s="22"/>
      <c r="Q636" s="22"/>
      <c r="R636" s="22"/>
      <c r="S636" s="22"/>
    </row>
    <row r="637" spans="10:19" x14ac:dyDescent="0.25">
      <c r="J637" s="22"/>
      <c r="K637" s="22"/>
      <c r="L637" s="22"/>
      <c r="M637" s="22"/>
      <c r="N637" s="22"/>
      <c r="O637" s="22"/>
      <c r="P637" s="22"/>
      <c r="Q637" s="22"/>
      <c r="R637" s="22"/>
      <c r="S637" s="22"/>
    </row>
    <row r="638" spans="10:19" x14ac:dyDescent="0.25">
      <c r="J638" s="22"/>
      <c r="K638" s="22"/>
      <c r="L638" s="22"/>
      <c r="M638" s="22"/>
      <c r="N638" s="22"/>
      <c r="O638" s="22"/>
      <c r="P638" s="22"/>
      <c r="Q638" s="22"/>
      <c r="R638" s="22"/>
      <c r="S638" s="22"/>
    </row>
    <row r="639" spans="10:19" x14ac:dyDescent="0.25">
      <c r="J639" s="22"/>
      <c r="K639" s="22"/>
      <c r="L639" s="22"/>
      <c r="M639" s="22"/>
      <c r="N639" s="22"/>
      <c r="O639" s="22"/>
      <c r="P639" s="22"/>
      <c r="Q639" s="22"/>
      <c r="R639" s="22"/>
      <c r="S639" s="22"/>
    </row>
    <row r="640" spans="10:19" x14ac:dyDescent="0.25">
      <c r="J640" s="22"/>
      <c r="K640" s="22"/>
      <c r="L640" s="22"/>
      <c r="M640" s="22"/>
      <c r="N640" s="22"/>
      <c r="O640" s="22"/>
      <c r="P640" s="22"/>
      <c r="Q640" s="22"/>
      <c r="R640" s="22"/>
      <c r="S640" s="22"/>
    </row>
    <row r="641" spans="10:19" x14ac:dyDescent="0.25">
      <c r="J641" s="22"/>
      <c r="K641" s="22"/>
      <c r="L641" s="22"/>
      <c r="M641" s="22"/>
      <c r="N641" s="22"/>
      <c r="O641" s="22"/>
      <c r="P641" s="22"/>
      <c r="Q641" s="22"/>
      <c r="R641" s="22"/>
      <c r="S641" s="22"/>
    </row>
    <row r="642" spans="10:19" x14ac:dyDescent="0.25">
      <c r="J642" s="22"/>
      <c r="K642" s="22"/>
      <c r="L642" s="22"/>
      <c r="M642" s="22"/>
      <c r="N642" s="22"/>
      <c r="O642" s="22"/>
      <c r="P642" s="22"/>
      <c r="Q642" s="22"/>
      <c r="R642" s="22"/>
      <c r="S642" s="22"/>
    </row>
    <row r="643" spans="10:19" x14ac:dyDescent="0.25">
      <c r="J643" s="22"/>
      <c r="K643" s="22"/>
      <c r="L643" s="22"/>
      <c r="M643" s="22"/>
      <c r="N643" s="22"/>
      <c r="O643" s="22"/>
      <c r="P643" s="22"/>
      <c r="Q643" s="22"/>
      <c r="R643" s="22"/>
      <c r="S643" s="22"/>
    </row>
    <row r="644" spans="10:19" x14ac:dyDescent="0.25">
      <c r="J644" s="22"/>
      <c r="K644" s="22"/>
      <c r="L644" s="22"/>
      <c r="M644" s="22"/>
      <c r="N644" s="22"/>
      <c r="O644" s="22"/>
      <c r="P644" s="22"/>
      <c r="Q644" s="22"/>
      <c r="R644" s="22"/>
      <c r="S644" s="22"/>
    </row>
    <row r="645" spans="10:19" x14ac:dyDescent="0.25">
      <c r="J645" s="22"/>
      <c r="K645" s="22"/>
      <c r="L645" s="22"/>
      <c r="M645" s="22"/>
      <c r="N645" s="22"/>
      <c r="O645" s="22"/>
      <c r="P645" s="22"/>
      <c r="Q645" s="22"/>
      <c r="R645" s="22"/>
      <c r="S645" s="22"/>
    </row>
    <row r="646" spans="10:19" x14ac:dyDescent="0.25">
      <c r="J646" s="22"/>
      <c r="K646" s="22"/>
      <c r="L646" s="22"/>
      <c r="M646" s="22"/>
      <c r="N646" s="22"/>
      <c r="O646" s="22"/>
      <c r="P646" s="22"/>
      <c r="Q646" s="22"/>
      <c r="R646" s="22"/>
      <c r="S646" s="22"/>
    </row>
    <row r="647" spans="10:19" x14ac:dyDescent="0.25">
      <c r="J647" s="22"/>
      <c r="K647" s="22"/>
      <c r="L647" s="22"/>
      <c r="M647" s="22"/>
      <c r="N647" s="22"/>
      <c r="O647" s="22"/>
      <c r="P647" s="22"/>
      <c r="Q647" s="22"/>
      <c r="R647" s="22"/>
      <c r="S647" s="22"/>
    </row>
    <row r="648" spans="10:19" x14ac:dyDescent="0.25">
      <c r="J648" s="22"/>
      <c r="K648" s="22"/>
      <c r="L648" s="22"/>
      <c r="M648" s="22"/>
      <c r="N648" s="22"/>
      <c r="O648" s="22"/>
      <c r="P648" s="22"/>
      <c r="Q648" s="22"/>
      <c r="R648" s="22"/>
      <c r="S648" s="22"/>
    </row>
    <row r="649" spans="10:19" x14ac:dyDescent="0.25">
      <c r="J649" s="22"/>
      <c r="K649" s="22"/>
      <c r="L649" s="22"/>
      <c r="M649" s="22"/>
      <c r="N649" s="22"/>
      <c r="O649" s="22"/>
      <c r="P649" s="22"/>
      <c r="Q649" s="22"/>
      <c r="R649" s="22"/>
      <c r="S649" s="22"/>
    </row>
    <row r="650" spans="10:19" x14ac:dyDescent="0.25">
      <c r="J650" s="22"/>
      <c r="K650" s="22"/>
      <c r="L650" s="22"/>
      <c r="M650" s="22"/>
      <c r="N650" s="22"/>
      <c r="O650" s="22"/>
      <c r="P650" s="22"/>
      <c r="Q650" s="22"/>
      <c r="R650" s="22"/>
      <c r="S650" s="22"/>
    </row>
    <row r="651" spans="10:19" x14ac:dyDescent="0.25">
      <c r="J651" s="22"/>
      <c r="K651" s="22"/>
      <c r="L651" s="22"/>
      <c r="M651" s="22"/>
      <c r="N651" s="22"/>
      <c r="O651" s="22"/>
      <c r="P651" s="22"/>
      <c r="Q651" s="22"/>
      <c r="R651" s="22"/>
      <c r="S651" s="22"/>
    </row>
    <row r="652" spans="10:19" x14ac:dyDescent="0.25">
      <c r="J652" s="22"/>
      <c r="K652" s="22"/>
      <c r="L652" s="22"/>
      <c r="M652" s="22"/>
      <c r="N652" s="22"/>
      <c r="O652" s="22"/>
      <c r="P652" s="22"/>
      <c r="Q652" s="22"/>
      <c r="R652" s="22"/>
      <c r="S652" s="22"/>
    </row>
    <row r="653" spans="10:19" x14ac:dyDescent="0.25">
      <c r="J653" s="22"/>
      <c r="K653" s="22"/>
      <c r="L653" s="22"/>
      <c r="M653" s="22"/>
      <c r="N653" s="22"/>
      <c r="O653" s="22"/>
      <c r="P653" s="22"/>
      <c r="Q653" s="22"/>
      <c r="R653" s="22"/>
      <c r="S653" s="22"/>
    </row>
    <row r="654" spans="10:19" x14ac:dyDescent="0.25">
      <c r="J654" s="22"/>
      <c r="K654" s="22"/>
      <c r="L654" s="22"/>
      <c r="M654" s="22"/>
      <c r="N654" s="22"/>
      <c r="O654" s="22"/>
      <c r="P654" s="22"/>
      <c r="Q654" s="22"/>
      <c r="R654" s="22"/>
      <c r="S654" s="22"/>
    </row>
    <row r="655" spans="10:19" x14ac:dyDescent="0.25">
      <c r="J655" s="22"/>
      <c r="K655" s="22"/>
      <c r="L655" s="22"/>
      <c r="M655" s="22"/>
      <c r="N655" s="22"/>
      <c r="O655" s="22"/>
      <c r="P655" s="22"/>
      <c r="Q655" s="22"/>
      <c r="R655" s="22"/>
      <c r="S655" s="22"/>
    </row>
    <row r="656" spans="10:19" x14ac:dyDescent="0.25">
      <c r="J656" s="22"/>
      <c r="K656" s="22"/>
      <c r="L656" s="22"/>
      <c r="M656" s="22"/>
      <c r="N656" s="22"/>
      <c r="O656" s="22"/>
      <c r="P656" s="22"/>
      <c r="Q656" s="22"/>
      <c r="R656" s="22"/>
      <c r="S656" s="22"/>
    </row>
    <row r="657" spans="10:19" x14ac:dyDescent="0.25">
      <c r="J657" s="22"/>
      <c r="K657" s="22"/>
      <c r="L657" s="22"/>
      <c r="M657" s="22"/>
      <c r="N657" s="22"/>
      <c r="O657" s="22"/>
      <c r="P657" s="22"/>
      <c r="Q657" s="22"/>
      <c r="R657" s="22"/>
      <c r="S657" s="22"/>
    </row>
    <row r="658" spans="10:19" x14ac:dyDescent="0.25">
      <c r="J658" s="22"/>
      <c r="K658" s="22"/>
      <c r="L658" s="22"/>
      <c r="M658" s="22"/>
      <c r="N658" s="22"/>
      <c r="O658" s="22"/>
      <c r="P658" s="22"/>
      <c r="Q658" s="22"/>
      <c r="R658" s="22"/>
      <c r="S658" s="22"/>
    </row>
    <row r="659" spans="10:19" x14ac:dyDescent="0.25">
      <c r="J659" s="22"/>
      <c r="K659" s="22"/>
      <c r="L659" s="22"/>
      <c r="M659" s="22"/>
      <c r="N659" s="22"/>
      <c r="O659" s="22"/>
      <c r="P659" s="22"/>
      <c r="Q659" s="22"/>
      <c r="R659" s="22"/>
      <c r="S659" s="22"/>
    </row>
    <row r="660" spans="10:19" x14ac:dyDescent="0.25">
      <c r="J660" s="22"/>
      <c r="K660" s="22"/>
      <c r="L660" s="22"/>
      <c r="M660" s="22"/>
      <c r="N660" s="22"/>
      <c r="O660" s="22"/>
      <c r="P660" s="22"/>
      <c r="Q660" s="22"/>
      <c r="R660" s="22"/>
      <c r="S660" s="22"/>
    </row>
    <row r="661" spans="10:19" x14ac:dyDescent="0.25">
      <c r="J661" s="22"/>
      <c r="K661" s="22"/>
      <c r="L661" s="22"/>
      <c r="M661" s="22"/>
      <c r="N661" s="22"/>
      <c r="O661" s="22"/>
      <c r="P661" s="22"/>
      <c r="Q661" s="22"/>
      <c r="R661" s="22"/>
      <c r="S661" s="22"/>
    </row>
    <row r="662" spans="10:19" x14ac:dyDescent="0.25">
      <c r="J662" s="22"/>
      <c r="K662" s="22"/>
      <c r="L662" s="22"/>
      <c r="M662" s="22"/>
      <c r="N662" s="22"/>
      <c r="O662" s="22"/>
      <c r="P662" s="22"/>
      <c r="Q662" s="22"/>
      <c r="R662" s="22"/>
      <c r="S662" s="22"/>
    </row>
    <row r="663" spans="10:19" x14ac:dyDescent="0.25">
      <c r="J663" s="22"/>
      <c r="K663" s="22"/>
      <c r="L663" s="22"/>
      <c r="M663" s="22"/>
      <c r="N663" s="22"/>
      <c r="O663" s="22"/>
      <c r="P663" s="22"/>
      <c r="Q663" s="22"/>
      <c r="R663" s="22"/>
      <c r="S663" s="22"/>
    </row>
    <row r="664" spans="10:19" x14ac:dyDescent="0.25">
      <c r="J664" s="22"/>
      <c r="K664" s="22"/>
      <c r="L664" s="22"/>
      <c r="M664" s="22"/>
      <c r="N664" s="22"/>
      <c r="O664" s="22"/>
      <c r="P664" s="22"/>
      <c r="Q664" s="22"/>
      <c r="R664" s="22"/>
      <c r="S664" s="22"/>
    </row>
    <row r="665" spans="10:19" x14ac:dyDescent="0.25">
      <c r="J665" s="22"/>
      <c r="K665" s="22"/>
      <c r="L665" s="22"/>
      <c r="M665" s="22"/>
      <c r="N665" s="22"/>
      <c r="O665" s="22"/>
      <c r="P665" s="22"/>
      <c r="Q665" s="22"/>
      <c r="R665" s="22"/>
      <c r="S665" s="22"/>
    </row>
    <row r="666" spans="10:19" x14ac:dyDescent="0.25">
      <c r="J666" s="22"/>
      <c r="K666" s="22"/>
      <c r="L666" s="22"/>
      <c r="M666" s="22"/>
      <c r="N666" s="22"/>
      <c r="O666" s="22"/>
      <c r="P666" s="22"/>
      <c r="Q666" s="22"/>
      <c r="R666" s="22"/>
      <c r="S666" s="22"/>
    </row>
    <row r="667" spans="10:19" x14ac:dyDescent="0.25">
      <c r="J667" s="22"/>
      <c r="K667" s="22"/>
      <c r="L667" s="22"/>
      <c r="M667" s="22"/>
      <c r="N667" s="22"/>
      <c r="O667" s="22"/>
      <c r="P667" s="22"/>
      <c r="Q667" s="22"/>
      <c r="R667" s="22"/>
      <c r="S667" s="22"/>
    </row>
    <row r="668" spans="10:19" x14ac:dyDescent="0.25">
      <c r="J668" s="22"/>
      <c r="K668" s="22"/>
      <c r="L668" s="22"/>
      <c r="M668" s="22"/>
      <c r="N668" s="22"/>
      <c r="O668" s="22"/>
      <c r="P668" s="22"/>
      <c r="Q668" s="22"/>
      <c r="R668" s="22"/>
      <c r="S668" s="22"/>
    </row>
    <row r="669" spans="10:19" x14ac:dyDescent="0.25">
      <c r="J669" s="22"/>
      <c r="K669" s="22"/>
      <c r="L669" s="22"/>
      <c r="M669" s="22"/>
      <c r="N669" s="22"/>
      <c r="O669" s="22"/>
      <c r="P669" s="22"/>
      <c r="Q669" s="22"/>
      <c r="R669" s="22"/>
      <c r="S669" s="22"/>
    </row>
    <row r="670" spans="10:19" x14ac:dyDescent="0.25">
      <c r="J670" s="22"/>
      <c r="K670" s="22"/>
      <c r="L670" s="22"/>
      <c r="M670" s="22"/>
      <c r="N670" s="22"/>
      <c r="O670" s="22"/>
      <c r="P670" s="22"/>
      <c r="Q670" s="22"/>
      <c r="R670" s="22"/>
      <c r="S670" s="22"/>
    </row>
    <row r="671" spans="10:19" x14ac:dyDescent="0.25">
      <c r="J671" s="22"/>
      <c r="K671" s="22"/>
      <c r="L671" s="22"/>
      <c r="M671" s="22"/>
      <c r="N671" s="22"/>
      <c r="O671" s="22"/>
      <c r="P671" s="22"/>
      <c r="Q671" s="22"/>
      <c r="R671" s="22"/>
      <c r="S671" s="22"/>
    </row>
    <row r="672" spans="10:19" x14ac:dyDescent="0.25">
      <c r="J672" s="22"/>
      <c r="K672" s="22"/>
      <c r="L672" s="22"/>
      <c r="M672" s="22"/>
      <c r="N672" s="22"/>
      <c r="O672" s="22"/>
      <c r="P672" s="22"/>
      <c r="Q672" s="22"/>
      <c r="R672" s="22"/>
      <c r="S672" s="22"/>
    </row>
    <row r="673" spans="10:19" x14ac:dyDescent="0.25">
      <c r="J673" s="22"/>
      <c r="K673" s="22"/>
      <c r="L673" s="22"/>
      <c r="M673" s="22"/>
      <c r="N673" s="22"/>
      <c r="O673" s="22"/>
      <c r="P673" s="22"/>
      <c r="Q673" s="22"/>
      <c r="R673" s="22"/>
      <c r="S673" s="22"/>
    </row>
    <row r="674" spans="10:19" x14ac:dyDescent="0.25">
      <c r="J674" s="22"/>
      <c r="K674" s="22"/>
      <c r="L674" s="22"/>
      <c r="M674" s="22"/>
      <c r="N674" s="22"/>
      <c r="O674" s="22"/>
      <c r="P674" s="22"/>
      <c r="Q674" s="22"/>
      <c r="R674" s="22"/>
      <c r="S674" s="22"/>
    </row>
    <row r="675" spans="10:19" x14ac:dyDescent="0.25">
      <c r="J675" s="22"/>
      <c r="K675" s="22"/>
      <c r="L675" s="22"/>
      <c r="M675" s="22"/>
      <c r="N675" s="22"/>
      <c r="O675" s="22"/>
      <c r="P675" s="22"/>
      <c r="Q675" s="22"/>
      <c r="R675" s="22"/>
      <c r="S675" s="22"/>
    </row>
    <row r="676" spans="10:19" x14ac:dyDescent="0.25">
      <c r="J676" s="22"/>
      <c r="K676" s="22"/>
      <c r="L676" s="22"/>
      <c r="M676" s="22"/>
      <c r="N676" s="22"/>
      <c r="O676" s="22"/>
      <c r="P676" s="22"/>
      <c r="Q676" s="22"/>
      <c r="R676" s="22"/>
      <c r="S676" s="22"/>
    </row>
    <row r="677" spans="10:19" x14ac:dyDescent="0.25">
      <c r="J677" s="22"/>
      <c r="K677" s="22"/>
      <c r="L677" s="22"/>
      <c r="M677" s="22"/>
      <c r="N677" s="22"/>
      <c r="O677" s="22"/>
      <c r="P677" s="22"/>
      <c r="Q677" s="22"/>
      <c r="R677" s="22"/>
      <c r="S677" s="22"/>
    </row>
    <row r="678" spans="10:19" x14ac:dyDescent="0.25">
      <c r="J678" s="22"/>
      <c r="K678" s="22"/>
      <c r="L678" s="22"/>
      <c r="M678" s="22"/>
      <c r="N678" s="22"/>
      <c r="O678" s="22"/>
      <c r="P678" s="22"/>
      <c r="Q678" s="22"/>
      <c r="R678" s="22"/>
      <c r="S678" s="22"/>
    </row>
    <row r="679" spans="10:19" x14ac:dyDescent="0.25">
      <c r="J679" s="22"/>
      <c r="K679" s="22"/>
      <c r="L679" s="22"/>
      <c r="M679" s="22"/>
      <c r="N679" s="22"/>
      <c r="O679" s="22"/>
      <c r="P679" s="22"/>
      <c r="Q679" s="22"/>
      <c r="R679" s="22"/>
      <c r="S679" s="22"/>
    </row>
    <row r="680" spans="10:19" x14ac:dyDescent="0.25">
      <c r="J680" s="22"/>
      <c r="K680" s="22"/>
      <c r="L680" s="22"/>
      <c r="M680" s="22"/>
      <c r="N680" s="22"/>
      <c r="O680" s="22"/>
      <c r="P680" s="22"/>
      <c r="Q680" s="22"/>
      <c r="R680" s="22"/>
      <c r="S680" s="22"/>
    </row>
    <row r="681" spans="10:19" x14ac:dyDescent="0.25">
      <c r="J681" s="22"/>
      <c r="K681" s="22"/>
      <c r="L681" s="22"/>
      <c r="M681" s="22"/>
      <c r="N681" s="22"/>
      <c r="O681" s="22"/>
      <c r="P681" s="22"/>
      <c r="Q681" s="22"/>
      <c r="R681" s="22"/>
      <c r="S681" s="22"/>
    </row>
    <row r="682" spans="10:19" x14ac:dyDescent="0.25">
      <c r="J682" s="22"/>
      <c r="K682" s="22"/>
      <c r="L682" s="22"/>
      <c r="M682" s="22"/>
      <c r="N682" s="22"/>
      <c r="O682" s="22"/>
      <c r="P682" s="22"/>
      <c r="Q682" s="22"/>
      <c r="R682" s="22"/>
      <c r="S682" s="22"/>
    </row>
    <row r="683" spans="10:19" x14ac:dyDescent="0.25">
      <c r="J683" s="22"/>
      <c r="K683" s="22"/>
      <c r="L683" s="22"/>
      <c r="M683" s="22"/>
      <c r="N683" s="22"/>
      <c r="O683" s="22"/>
      <c r="P683" s="22"/>
      <c r="Q683" s="22"/>
      <c r="R683" s="22"/>
      <c r="S683" s="22"/>
    </row>
    <row r="684" spans="10:19" x14ac:dyDescent="0.25">
      <c r="J684" s="22"/>
      <c r="K684" s="22"/>
      <c r="L684" s="22"/>
      <c r="M684" s="22"/>
      <c r="N684" s="22"/>
      <c r="O684" s="22"/>
      <c r="P684" s="22"/>
      <c r="Q684" s="22"/>
      <c r="R684" s="22"/>
      <c r="S684" s="22"/>
    </row>
    <row r="685" spans="10:19" x14ac:dyDescent="0.25">
      <c r="J685" s="22"/>
      <c r="K685" s="22"/>
      <c r="L685" s="22"/>
      <c r="M685" s="22"/>
      <c r="N685" s="22"/>
      <c r="O685" s="22"/>
      <c r="P685" s="22"/>
      <c r="Q685" s="22"/>
      <c r="R685" s="22"/>
      <c r="S685" s="22"/>
    </row>
    <row r="686" spans="10:19" x14ac:dyDescent="0.25">
      <c r="J686" s="22"/>
      <c r="K686" s="22"/>
      <c r="L686" s="22"/>
      <c r="M686" s="22"/>
      <c r="N686" s="22"/>
      <c r="O686" s="22"/>
      <c r="P686" s="22"/>
      <c r="Q686" s="22"/>
      <c r="R686" s="22"/>
      <c r="S686" s="22"/>
    </row>
    <row r="687" spans="10:19" x14ac:dyDescent="0.25">
      <c r="J687" s="22"/>
      <c r="K687" s="22"/>
      <c r="L687" s="22"/>
      <c r="M687" s="22"/>
      <c r="N687" s="22"/>
      <c r="O687" s="22"/>
      <c r="P687" s="22"/>
      <c r="Q687" s="22"/>
      <c r="R687" s="22"/>
      <c r="S687" s="22"/>
    </row>
    <row r="688" spans="10:19" x14ac:dyDescent="0.25">
      <c r="J688" s="22"/>
      <c r="K688" s="22"/>
      <c r="L688" s="22"/>
      <c r="M688" s="22"/>
      <c r="N688" s="22"/>
      <c r="O688" s="22"/>
      <c r="P688" s="22"/>
      <c r="Q688" s="22"/>
      <c r="R688" s="22"/>
      <c r="S688" s="22"/>
    </row>
    <row r="689" spans="10:19" x14ac:dyDescent="0.25">
      <c r="J689" s="22"/>
      <c r="K689" s="22"/>
      <c r="L689" s="22"/>
      <c r="M689" s="22"/>
      <c r="N689" s="22"/>
      <c r="O689" s="22"/>
      <c r="P689" s="22"/>
      <c r="Q689" s="22"/>
      <c r="R689" s="22"/>
      <c r="S689" s="22"/>
    </row>
    <row r="690" spans="10:19" x14ac:dyDescent="0.25">
      <c r="J690" s="22"/>
      <c r="K690" s="22"/>
      <c r="L690" s="22"/>
      <c r="M690" s="22"/>
      <c r="N690" s="22"/>
      <c r="O690" s="22"/>
      <c r="P690" s="22"/>
      <c r="Q690" s="22"/>
      <c r="R690" s="22"/>
      <c r="S690" s="22"/>
    </row>
    <row r="691" spans="10:19" x14ac:dyDescent="0.25">
      <c r="J691" s="22"/>
      <c r="K691" s="22"/>
      <c r="L691" s="22"/>
      <c r="M691" s="22"/>
      <c r="N691" s="22"/>
      <c r="O691" s="22"/>
      <c r="P691" s="22"/>
      <c r="Q691" s="22"/>
      <c r="R691" s="22"/>
      <c r="S691" s="22"/>
    </row>
    <row r="692" spans="10:19" x14ac:dyDescent="0.25">
      <c r="J692" s="22"/>
      <c r="K692" s="22"/>
      <c r="L692" s="22"/>
      <c r="M692" s="22"/>
      <c r="N692" s="22"/>
      <c r="O692" s="22"/>
      <c r="P692" s="22"/>
      <c r="Q692" s="22"/>
      <c r="R692" s="22"/>
      <c r="S692" s="22"/>
    </row>
    <row r="693" spans="10:19" x14ac:dyDescent="0.25">
      <c r="J693" s="22"/>
      <c r="K693" s="22"/>
      <c r="L693" s="22"/>
      <c r="M693" s="22"/>
      <c r="N693" s="22"/>
      <c r="O693" s="22"/>
      <c r="P693" s="22"/>
      <c r="Q693" s="22"/>
      <c r="R693" s="22"/>
      <c r="S693" s="22"/>
    </row>
    <row r="694" spans="10:19" x14ac:dyDescent="0.25">
      <c r="J694" s="22"/>
      <c r="K694" s="22"/>
      <c r="L694" s="22"/>
      <c r="M694" s="22"/>
      <c r="N694" s="22"/>
      <c r="O694" s="22"/>
      <c r="P694" s="22"/>
      <c r="Q694" s="22"/>
      <c r="R694" s="22"/>
      <c r="S694" s="22"/>
    </row>
    <row r="695" spans="10:19" x14ac:dyDescent="0.25">
      <c r="J695" s="22"/>
      <c r="K695" s="22"/>
      <c r="L695" s="22"/>
      <c r="M695" s="22"/>
      <c r="N695" s="22"/>
      <c r="O695" s="22"/>
      <c r="P695" s="22"/>
      <c r="Q695" s="22"/>
      <c r="R695" s="22"/>
      <c r="S695" s="22"/>
    </row>
    <row r="696" spans="10:19" x14ac:dyDescent="0.25">
      <c r="J696" s="22"/>
      <c r="K696" s="22"/>
      <c r="L696" s="22"/>
      <c r="M696" s="22"/>
      <c r="N696" s="22"/>
      <c r="O696" s="22"/>
      <c r="P696" s="22"/>
      <c r="Q696" s="22"/>
      <c r="R696" s="22"/>
      <c r="S696" s="22"/>
    </row>
    <row r="697" spans="10:19" x14ac:dyDescent="0.25">
      <c r="J697" s="22"/>
      <c r="K697" s="22"/>
      <c r="L697" s="22"/>
      <c r="M697" s="22"/>
      <c r="N697" s="22"/>
      <c r="O697" s="22"/>
      <c r="P697" s="22"/>
      <c r="Q697" s="22"/>
      <c r="R697" s="22"/>
      <c r="S697" s="22"/>
    </row>
    <row r="698" spans="10:19" x14ac:dyDescent="0.25">
      <c r="J698" s="22"/>
      <c r="K698" s="22"/>
      <c r="L698" s="22"/>
      <c r="M698" s="22"/>
      <c r="N698" s="22"/>
      <c r="O698" s="22"/>
      <c r="P698" s="22"/>
      <c r="Q698" s="22"/>
      <c r="R698" s="22"/>
      <c r="S698" s="22"/>
    </row>
    <row r="699" spans="10:19" x14ac:dyDescent="0.25">
      <c r="J699" s="22"/>
      <c r="K699" s="22"/>
      <c r="L699" s="22"/>
      <c r="M699" s="22"/>
      <c r="N699" s="22"/>
      <c r="O699" s="22"/>
      <c r="P699" s="22"/>
      <c r="Q699" s="22"/>
      <c r="R699" s="22"/>
      <c r="S699" s="22"/>
    </row>
    <row r="700" spans="10:19" x14ac:dyDescent="0.25">
      <c r="J700" s="22"/>
      <c r="K700" s="22"/>
      <c r="L700" s="22"/>
      <c r="M700" s="22"/>
      <c r="N700" s="22"/>
      <c r="O700" s="22"/>
      <c r="P700" s="22"/>
      <c r="Q700" s="22"/>
      <c r="R700" s="22"/>
      <c r="S700" s="22"/>
    </row>
  </sheetData>
  <autoFilter ref="A6:S380"/>
  <conditionalFormatting sqref="J7:N7">
    <cfRule type="cellIs" dxfId="0" priority="5" operator="greaterThan">
      <formula>1</formula>
    </cfRule>
    <cfRule type="cellIs" dxfId="1" priority="6" operator="lessThan">
      <formula>1</formula>
    </cfRule>
  </conditionalFormatting>
  <conditionalFormatting sqref="O7:S7">
    <cfRule type="cellIs" dxfId="2" priority="3" operator="greaterThan">
      <formula>1</formula>
    </cfRule>
    <cfRule type="cellIs" dxfId="3" priority="4" operator="lessThan">
      <formula>1</formula>
    </cfRule>
  </conditionalFormatting>
  <dataValidations count="10">
    <dataValidation type="list" allowBlank="1" showInputMessage="1" showErrorMessage="1" sqref="F10:F25">
      <formula1>AgencyList</formula1>
    </dataValidation>
    <dataValidation type="list" allowBlank="1" showInputMessage="1" showErrorMessage="1" sqref="F100:F432">
      <formula1>Agency</formula1>
    </dataValidation>
    <dataValidation type="list" allowBlank="1" showInputMessage="1" showErrorMessage="1" sqref="F26:F432">
      <formula1>Agency</formula1>
    </dataValidation>
    <dataValidation type="list" allowBlank="1" showInputMessage="1" showErrorMessage="1" sqref="F8:F9">
      <formula1>Agency</formula1>
    </dataValidation>
    <dataValidation type="list" allowBlank="1" showInputMessage="1" showErrorMessage="1" sqref="G100:G432">
      <formula1>IF(pgmcheck=1,OFFSET(AgencyProgram,MATCH((AgyCode),AgencyProgram,0)-1,5,COUNTIF(AgencyProgram,AgyCode)),$A$2)</formula1>
    </dataValidation>
    <dataValidation type="list" allowBlank="1" showInputMessage="1" showErrorMessage="1" sqref="G26:G432">
      <formula1>IF(pgmcheck=1,OFFSET(AgencyProgram,MATCH((AgyCode),AgencyProgram,0)-1,5,COUNTIF(AgencyProgram,AgyCode)),$A$2)</formula1>
    </dataValidation>
    <dataValidation type="list" allowBlank="1" showInputMessage="1" showErrorMessage="1" sqref="G8:G9">
      <formula1>IF(pgmcheck=1,OFFSET(AgencyProgram,MATCH((AgyCode),AgencyProgram,0)-1,5,COUNTIF(AgencyProgram,AgyCode)),$A$2)</formula1>
    </dataValidation>
    <dataValidation type="list" allowBlank="1" showInputMessage="1" showErrorMessage="1" errorTitle="Invalid fund For agency" sqref="I100:I432">
      <formula1>IF(AgyChoice=1,FundList,OFFSET(AgencyFund,MATCH((Agency),AgencyFund,0)-1,1,COUNTIF(AgencyFund,Agency)))</formula1>
    </dataValidation>
    <dataValidation type="list" allowBlank="1" showInputMessage="1" showErrorMessage="1" errorTitle="Invalid fund For agency" sqref="I26:I432">
      <formula1>IF(AgyChoice=1,FundList,OFFSET(AgencyFund,MATCH((Agency),AgencyFund,0)-1,1,COUNTIF(AgencyFund,Agency)))</formula1>
    </dataValidation>
    <dataValidation type="list" allowBlank="1" showInputMessage="1" showErrorMessage="1" errorTitle="Invalid fund For agency" sqref="I8:I9">
      <formula1>IF(AgyChoice=1,FundList,OFFSET(AgencyFund,MATCH((Agency),AgencyFund,0)-1,1,COUNTIF(AgencyFund,Agency)))</formula1>
    </dataValidation>
  </dataValidations>
  <pageMargins left="0.7" right="0.7" top="0.75" bottom="0.75" header="0.3" footer="0.3"/>
  <pageSetup paperSize="5" orientation="landscape" horizontalDpi="4294967295" verticalDpi="4294967295" scale="73" fitToWidth="1" fitToHeight="0" firstPageNumber="1" useFirstPageNumber="1" copies="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BC1FC03CB53B40BC3300DA8FC9F197" ma:contentTypeVersion="15" ma:contentTypeDescription="Create a new document." ma:contentTypeScope="" ma:versionID="932d01b80d27d62bdade2d3c1430227e">
  <xsd:schema xmlns:xsd="http://www.w3.org/2001/XMLSchema" xmlns:xs="http://www.w3.org/2001/XMLSchema" xmlns:p="http://schemas.microsoft.com/office/2006/metadata/properties" xmlns:ns2="f7448ec1-8ab6-4f9a-8489-c98098ffcc66" xmlns:ns3="0a795077-0e4c-4682-a147-8ec713ec5728" targetNamespace="http://schemas.microsoft.com/office/2006/metadata/properties" ma:root="true" ma:fieldsID="34673d6bfc1909bf30acf6cf6a46c82c" ns2:_="" ns3:_="">
    <xsd:import namespace="f7448ec1-8ab6-4f9a-8489-c98098ffcc66"/>
    <xsd:import namespace="0a795077-0e4c-4682-a147-8ec713ec57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448ec1-8ab6-4f9a-8489-c98098ffcc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360a6a1c-50a4-4ec0-87e3-f00760ffe7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95077-0e4c-4682-a147-8ec713ec572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829ca889-5d99-4611-a7d4-37ef60f7c24a}" ma:internalName="TaxCatchAll" ma:showField="CatchAllData" ma:web="0a795077-0e4c-4682-a147-8ec713ec57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7448ec1-8ab6-4f9a-8489-c98098ffcc66">
      <Terms xmlns="http://schemas.microsoft.com/office/infopath/2007/PartnerControls"/>
    </lcf76f155ced4ddcb4097134ff3c332f>
    <TaxCatchAll xmlns="0a795077-0e4c-4682-a147-8ec713ec5728" xsi:nil="true"/>
  </documentManagement>
</p:properties>
</file>

<file path=customXml/itemProps1.xml><?xml version="1.0" encoding="utf-8"?>
<ds:datastoreItem xmlns:ds="http://schemas.openxmlformats.org/officeDocument/2006/customXml" ds:itemID="{5E59F9BC-346B-4904-BACE-2459A5C5E0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448ec1-8ab6-4f9a-8489-c98098ffcc66"/>
    <ds:schemaRef ds:uri="0a795077-0e4c-4682-a147-8ec713ec57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6A231E-0653-49AD-BD7C-8A0D2DA966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47B12A-C622-428C-8018-E72D33A0AE7E}">
  <ds:schemaRefs>
    <ds:schemaRef ds:uri="http://schemas.microsoft.com/office/2006/metadata/properties"/>
    <ds:schemaRef ds:uri="http://schemas.microsoft.com/office/infopath/2007/PartnerControls"/>
    <ds:schemaRef ds:uri="f7448ec1-8ab6-4f9a-8489-c98098ffcc66"/>
    <ds:schemaRef ds:uri="0a795077-0e4c-4682-a147-8ec713ec572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FundSplits</vt:lpstr>
      <vt:lpstr>ActiveFunds</vt:lpstr>
    </vt:vector>
  </TitlesOfParts>
  <Company>Washington State Legislature</Company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Feltus</dc:creator>
  <dc:title/>
  <dc:subject/>
  <dc:description/>
  <cp:keywords/>
  <cp:category/>
  <cp:lastModifiedBy>Miracle, Kari (OFM)</cp:lastModifiedBy>
  <cp:contentStatus/>
  <dcterms:created xsi:type="dcterms:W3CDTF">2016-06-29T21:27:33Z</dcterms:created>
  <dcterms:modified xsi:type="dcterms:W3CDTF">2026-05-20T21:31:24Z</dcterms:modified>
</cp:coreProperties>
</file>