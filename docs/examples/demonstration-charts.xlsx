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rl\Code\gh\home\projects\workbooks\runs\charts\"/>
    </mc:Choice>
  </mc:AlternateContent>
  <xr:revisionPtr revIDLastSave="0" documentId="8_{3B8EA3D4-3533-42D6-8B57-944C75300991}" xr6:coauthVersionLast="47" xr6:coauthVersionMax="47" xr10:uidLastSave="{00000000-0000-0000-0000-000000000000}"/>
  <bookViews>
    <workbookView xWindow="4392" yWindow="4392" windowWidth="11544" windowHeight="7800" activeTab="1" xr2:uid="{C0304652-6E4E-49BC-94DD-242467DCFE75}"/>
  </bookViews>
  <sheets>
    <sheet name="ColumnAndBar" sheetId="1" r:id="rId1"/>
    <sheet name="TrendsAndSha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<sst xmlns="http://schemas.openxmlformats.org/spreadsheetml/2006/main" count="32" uniqueCount="27">
  <si>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Division Performance &amp; Allocation</t>
  </si>
  <si>
    <t>Budget vs. Actual figures and variance analysis (Dollars in thousands)</t>
  </si>
  <si>
    <t>Division</t>
  </si>
  <si>
    <t>Budget</t>
  </si>
  <si>
    <t>Actual</t>
  </si>
  <si>
    <t>Actuarial &amp; Finance</t>
  </si>
  <si>
    <t>Information Technology</t>
  </si>
  <si>
    <t>Operations</t>
  </si>
  <si>
    <t>Retirement Services</t>
  </si>
  <si>
    <t>Variance</t>
  </si>
  <si>
    <t>Quarterly Trends &amp; Expenditure Share</t>
  </si>
  <si>
    <t>Multi-biennium spend pacing and cost composition</t>
  </si>
  <si>
    <t>Quarter</t>
  </si>
  <si>
    <t>FY2026</t>
  </si>
  <si>
    <t>FY2027</t>
  </si>
  <si>
    <t>FY2028</t>
  </si>
  <si>
    <t>Q1</t>
  </si>
  <si>
    <t>Q2</t>
  </si>
  <si>
    <t>Q3</t>
  </si>
  <si>
    <t>Q4</t>
  </si>
  <si>
    <t>Category</t>
  </si>
  <si>
    <t>Share</t>
  </si>
  <si>
    <t>Salaries &amp; Wages</t>
  </si>
  <si>
    <t>Employee Benefits</t>
  </si>
  <si>
    <t>Personal Contracts</t>
  </si>
  <si>
    <t>Equipment</t>
  </si>
  <si>
    <t>Goods &amp;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</si>
</sst>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\+#,##0;&quot;$&quot;\-#,##0;&quot;$&quot;0"/>
    <numFmt numFmtId="166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E1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Budget vs Actual by Division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ColumnAndBar!$C$5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strRef>
              <c:f>ColumnAndBar!$B$6:$B$9</c:f>
              <c:strCache>
                <c:ptCount val="4"/>
                <c:pt idx="0">
                  <c:v>Actuarial &amp; Finance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Retirement Services</c:v>
                </c:pt>
              </c:strCache>
            </c:strRef>
          </c:cat>
          <c:val>
            <c:numRef>
              <c:f>ColumnAndBar!$C$6:$C$9</c:f>
              <c:numCache>
                <c:formatCode>"$"#,##0</c:formatCode>
                <c:ptCount val="4"/>
                <c:pt idx="0">
                  <c:v>3500</c:v>
                </c:pt>
                <c:pt idx="1">
                  <c:v>6850</c:v>
                </c:pt>
                <c:pt idx="2">
                  <c:v>1730</c:v>
                </c:pt>
                <c:pt idx="3">
                  <c:v>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E4-40E7-BFF2-563250C1F3A7}"/>
            </c:ext>
          </c:extLst>
        </c:ser>
        <c:ser>
          <c:idx val="1"/>
          <c:order val="1"/>
          <c:tx>
            <c:strRef>
              <c:f>ColumnAndBar!$D$5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strRef>
              <c:f>ColumnAndBar!$B$6:$B$9</c:f>
              <c:strCache>
                <c:ptCount val="4"/>
                <c:pt idx="0">
                  <c:v>Actuarial &amp; Finance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Retirement Services</c:v>
                </c:pt>
              </c:strCache>
            </c:strRef>
          </c:cat>
          <c:val>
            <c:numRef>
              <c:f>ColumnAndBar!$D$6:$D$9</c:f>
              <c:numCache>
                <c:formatCode>"$"#,##0</c:formatCode>
                <c:ptCount val="4"/>
                <c:pt idx="0">
                  <c:v>3475</c:v>
                </c:pt>
                <c:pt idx="1">
                  <c:v>6990</c:v>
                </c:pt>
                <c:pt idx="2">
                  <c:v>1760</c:v>
                </c:pt>
                <c:pt idx="3">
                  <c:v>2585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E4-40E7-BFF2-563250C1F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721328"/>
        <c:axId val="500732208"/>
      </c:barChart>
      <c:catAx>
        <c:axId val="64172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732208"/>
        <c:crosses val="autoZero"/>
        <c:auto val="1"/>
        <c:lblAlgn val="ctr"/>
        <c:lblOffset val="100"/>
        <c:noMultiLvlLbl val="0"/>
      </c:catAx>
      <c:valAx>
        <c:axId val="500732208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641721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Variance by Division ($k)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ColumnAndBar!$C$12</c:f>
              <c:strCache>
                <c:ptCount val="1"/>
                <c:pt idx="0">
                  <c:v>Variance</c:v>
                </c:pt>
              </c:strCache>
            </c:strRef>
          </c:tx>
          <c:invertIfNegative val="0"/>
          <c:cat>
            <c:strRef>
              <c:f>ColumnAndBar!$B$13:$B$16</c:f>
              <c:strCache>
                <c:ptCount val="4"/>
                <c:pt idx="0">
                  <c:v>Actuarial &amp; Finance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Retirement Services</c:v>
                </c:pt>
              </c:strCache>
            </c:strRef>
          </c:cat>
          <c:val>
            <c:numRef>
              <c:f>ColumnAndBar!$C$13:$C$16</c:f>
              <c:numCache>
                <c:formatCode>"$"\+#,##0;"$"\-#,##0;"$"0</c:formatCode>
                <c:ptCount val="4"/>
                <c:pt idx="0">
                  <c:v>-25</c:v>
                </c:pt>
                <c:pt idx="1">
                  <c:v>140</c:v>
                </c:pt>
                <c:pt idx="2">
                  <c:v>30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6-4E74-8738-BDE9E5D72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813456"/>
        <c:axId val="500733168"/>
      </c:barChart>
      <c:catAx>
        <c:axId val="643813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733168"/>
        <c:crosses val="autoZero"/>
        <c:auto val="1"/>
        <c:lblAlgn val="ctr"/>
        <c:lblOffset val="100"/>
        <c:noMultiLvlLbl val="0"/>
      </c:catAx>
      <c:valAx>
        <c:axId val="500733168"/>
        <c:scaling>
          <c:orientation val="minMax"/>
        </c:scaling>
        <c:delete val="0"/>
        <c:axPos val="b"/>
        <c:majorGridlines/>
        <c:numFmt formatCode="&quot;$&quot;\+#,##0;&quot;$&quot;\-#,##0;&quot;$&quot;0" sourceLinked="1"/>
        <c:majorTickMark val="out"/>
        <c:minorTickMark val="none"/>
        <c:tickLblPos val="nextTo"/>
        <c:crossAx val="6438134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Quarterly Outlay Trajectory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TrendsAndShares!$C$5</c:f>
              <c:strCache>
                <c:ptCount val="1"/>
                <c:pt idx="0">
                  <c:v>FY2026</c:v>
                </c:pt>
              </c:strCache>
            </c:strRef>
          </c:tx>
          <c:cat>
            <c:strRef>
              <c:f>TrendsAndShares!$B$6:$B$9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TrendsAndShares!$C$6:$C$9</c:f>
              <c:numCache>
                <c:formatCode>"$"#,##0</c:formatCode>
                <c:ptCount val="4"/>
                <c:pt idx="0">
                  <c:v>2100</c:v>
                </c:pt>
                <c:pt idx="1">
                  <c:v>2450</c:v>
                </c:pt>
                <c:pt idx="2">
                  <c:v>2300</c:v>
                </c:pt>
                <c:pt idx="3">
                  <c:v>2850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B-4890-8DE4-BAC9556A7F56}"/>
            </c:ext>
          </c:extLst>
        </c:ser>
        <c:ser>
          <c:idx val="1"/>
          <c:order val="1"/>
          <c:tx>
            <c:strRef>
              <c:f>TrendsAndShares!$D$5</c:f>
              <c:strCache>
                <c:ptCount val="1"/>
                <c:pt idx="0">
                  <c:v>FY2027</c:v>
                </c:pt>
              </c:strCache>
            </c:strRef>
          </c:tx>
          <c:cat>
            <c:strRef>
              <c:f>TrendsAndShares!$B$6:$B$9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TrendsAndShares!$D$6:$D$9</c:f>
              <c:numCache>
                <c:formatCode>"$"#,##0</c:formatCode>
                <c:ptCount val="4"/>
                <c:pt idx="0">
                  <c:v>2350</c:v>
                </c:pt>
                <c:pt idx="1">
                  <c:v>2700</c:v>
                </c:pt>
                <c:pt idx="2">
                  <c:v>2550</c:v>
                </c:pt>
                <c:pt idx="3">
                  <c:v>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B-4890-8DE4-BAC9556A7F56}"/>
            </c:ext>
          </c:extLst>
        </c:ser>
        <c:ser>
          <c:idx val="2"/>
          <c:order val="2"/>
          <c:tx>
            <c:strRef>
              <c:f>TrendsAndShares!$E$5</c:f>
              <c:strCache>
                <c:ptCount val="1"/>
                <c:pt idx="0">
                  <c:v>FY2028</c:v>
                </c:pt>
              </c:strCache>
            </c:strRef>
          </c:tx>
          <c:cat>
            <c:strRef>
              <c:f>TrendsAndShares!$B$6:$B$9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TrendsAndShares!$E$6:$E$9</c:f>
              <c:numCache>
                <c:formatCode>"$"#,##0</c:formatCode>
                <c:ptCount val="4"/>
                <c:pt idx="0">
                  <c:v>2600</c:v>
                </c:pt>
                <c:pt idx="1">
                  <c:v>2950</c:v>
                </c:pt>
                <c:pt idx="2">
                  <c:v>2800</c:v>
                </c:pt>
                <c:pt idx="3">
                  <c:v>3450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BB-4890-8DE4-BAC9556A7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18096"/>
        <c:axId val="500741808"/>
      </c:lineChart>
      <c:catAx>
        <c:axId val="64381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741808"/>
        <c:crosses val="autoZero"/>
        <c:auto val="1"/>
        <c:lblAlgn val="ctr"/>
        <c:lblOffset val="100"/>
        <c:noMultiLvlLbl val="0"/>
      </c:catAx>
      <c:valAx>
        <c:axId val="500741808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643818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Expenditure Share by Object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TrendsAndShares!$C$12</c:f>
              <c:strCache>
                <c:ptCount val="1"/>
                <c:pt idx="0">
                  <c:v>Share</c:v>
                </c:pt>
              </c:strCache>
            </c:strRef>
          </c:tx>
          <c:cat>
            <c:strRef>
              <c:f>TrendsAndShares!$B$13:$B$17</c:f>
              <c:strCache>
                <c:ptCount val="5"/>
                <c:pt idx="0">
                  <c:v>Salaries &amp; Wages</c:v>
                </c:pt>
                <c:pt idx="1">
                  <c:v>Employee Benefits</c:v>
                </c:pt>
                <c:pt idx="2">
                  <c:v>Personal Contracts</c:v>
                </c:pt>
                <c:pt idx="3">
                  <c:v>Equipment</c:v>
                </c:pt>
                <c:pt idx="4">
                  <c:v>Goods &amp; Services</c:v>
                </c:pt>
              </c:strCache>
            </c:strRef>
          </c:cat>
          <c:val>
            <c:numRef>
              <c:f>TrendsAndShares!$C$13:$C$17</c:f>
              <c:numCache>
                <c:formatCode>0.0%</c:formatCode>
                <c:ptCount val="5"/>
                <c:pt idx="0">
                  <c:v>0.42</c:v>
                </c:pt>
                <c:pt idx="1">
                  <c:v>0.28000000000000003</c:v>
                </c:pt>
                <c:pt idx="2">
                  <c:v>0.18</c:v>
                </c:pt>
                <c:pt idx="3">
                  <c:v>7.0000000000000007E-2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2-48A8-A55B-209C2441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D7AD8-B0A1-16E1-70E4-29B1AC4A1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43BBA5-3ACD-90CC-B3E2-9A6BFD11E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880A05-CC0E-97BE-3C0A-B0FF46E96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4E798D-5051-69AB-163F-34E5B4DC2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FC7A-2A43-4CD6-ACE3-A39C1BF9074B}">
  <dimension ref="B2:D16"/>
  <sheetViews>
    <sheetView workbookViewId="0"/>
  </sheetViews>
  <sheetFormatPr defaultRowHeight="14.4" x14ac:dyDescent="0.3"/>
  <cols>
    <col min="2" max="2" width="57.109375" bestFit="1" customWidth="1"/>
    <col min="3" max="3" width="8.33203125" bestFit="1" customWidth="1"/>
    <col min="4" max="4" width="6.5546875" bestFit="1" customWidth="1"/>
  </cols>
  <sheetData>
    <row r="2" spans="2:4" ht="21" x14ac:dyDescent="0.4">
      <c r="B2" s="1" t="s">
        <v>0</v>
      </c>
    </row>
    <row r="3" spans="2:4" x14ac:dyDescent="0.3">
      <c r="B3" s="2" t="s">
        <v>1</v>
      </c>
    </row>
    <row r="5" spans="2:4" x14ac:dyDescent="0.3">
      <c r="B5" s="3" t="s">
        <v>2</v>
      </c>
      <c r="C5" s="3" t="s">
        <v>3</v>
      </c>
      <c r="D5" s="3" t="s">
        <v>4</v>
      </c>
    </row>
    <row r="6" spans="2:4" x14ac:dyDescent="0.3">
      <c r="B6" s="4" t="s">
        <v>5</v>
      </c>
      <c r="C6" s="5">
        <v>3500</v>
      </c>
      <c r="D6" s="5">
        <v>3475</v>
      </c>
    </row>
    <row r="7" spans="2:4" x14ac:dyDescent="0.3">
      <c r="B7" s="4" t="s">
        <v>6</v>
      </c>
      <c r="C7" s="5">
        <v>6850</v>
      </c>
      <c r="D7" s="5">
        <v>6990</v>
      </c>
    </row>
    <row r="8" spans="2:4" x14ac:dyDescent="0.3">
      <c r="B8" s="4" t="s">
        <v>7</v>
      </c>
      <c r="C8" s="5">
        <v>1730</v>
      </c>
      <c r="D8" s="5">
        <v>1760</v>
      </c>
    </row>
    <row r="9" spans="2:4" x14ac:dyDescent="0.3">
      <c r="B9" s="4" t="s">
        <v>8</v>
      </c>
      <c r="C9" s="5">
        <v>2575</v>
      </c>
      <c r="D9" s="5">
        <v>2585</v>
      </c>
    </row>
    <row r="12" spans="2:4" x14ac:dyDescent="0.3">
      <c r="B12" s="3" t="s">
        <v>2</v>
      </c>
      <c r="C12" s="3" t="s">
        <v>9</v>
      </c>
    </row>
    <row r="13" spans="2:4" x14ac:dyDescent="0.3">
      <c r="B13" s="4" t="s">
        <v>5</v>
      </c>
      <c r="C13" s="6">
        <v>-25</v>
      </c>
    </row>
    <row r="14" spans="2:4" x14ac:dyDescent="0.3">
      <c r="B14" s="4" t="s">
        <v>6</v>
      </c>
      <c r="C14" s="6">
        <v>140</v>
      </c>
    </row>
    <row r="15" spans="2:4" x14ac:dyDescent="0.3">
      <c r="B15" s="4" t="s">
        <v>7</v>
      </c>
      <c r="C15" s="6">
        <v>30</v>
      </c>
    </row>
    <row r="16" spans="2:4" x14ac:dyDescent="0.3">
      <c r="B16" s="4" t="s">
        <v>8</v>
      </c>
      <c r="C16" s="6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FF71-3CDE-4666-83EB-5BB307887F36}">
  <dimension ref="B2:E17"/>
  <sheetViews>
    <sheetView tabSelected="1" workbookViewId="0"/>
  </sheetViews>
  <sheetFormatPr defaultRowHeight="14.4" x14ac:dyDescent="0.3"/>
  <cols>
    <col min="2" max="2" width="48.44140625" bestFit="1" customWidth="1"/>
    <col min="3" max="5" width="7" bestFit="1" customWidth="1"/>
  </cols>
  <sheetData>
    <row r="2" spans="2:5" ht="21" x14ac:dyDescent="0.4">
      <c r="B2" s="1" t="s">
        <v>10</v>
      </c>
    </row>
    <row r="3" spans="2:5" x14ac:dyDescent="0.3">
      <c r="B3" s="2" t="s">
        <v>11</v>
      </c>
    </row>
    <row r="5" spans="2:5" x14ac:dyDescent="0.3">
      <c r="B5" s="3" t="s">
        <v>12</v>
      </c>
      <c r="C5" s="3" t="s">
        <v>13</v>
      </c>
      <c r="D5" s="3" t="s">
        <v>14</v>
      </c>
      <c r="E5" s="3" t="s">
        <v>15</v>
      </c>
    </row>
    <row r="6" spans="2:5" x14ac:dyDescent="0.3">
      <c r="B6" s="4" t="s">
        <v>16</v>
      </c>
      <c r="C6" s="5">
        <v>2100</v>
      </c>
      <c r="D6" s="5">
        <v>2350</v>
      </c>
      <c r="E6" s="5">
        <v>2600</v>
      </c>
    </row>
    <row r="7" spans="2:5" x14ac:dyDescent="0.3">
      <c r="B7" s="4" t="s">
        <v>17</v>
      </c>
      <c r="C7" s="5">
        <v>2450</v>
      </c>
      <c r="D7" s="5">
        <v>2700</v>
      </c>
      <c r="E7" s="5">
        <v>2950</v>
      </c>
    </row>
    <row r="8" spans="2:5" x14ac:dyDescent="0.3">
      <c r="B8" s="4" t="s">
        <v>18</v>
      </c>
      <c r="C8" s="5">
        <v>2300</v>
      </c>
      <c r="D8" s="5">
        <v>2550</v>
      </c>
      <c r="E8" s="5">
        <v>2800</v>
      </c>
    </row>
    <row r="9" spans="2:5" x14ac:dyDescent="0.3">
      <c r="B9" s="4" t="s">
        <v>19</v>
      </c>
      <c r="C9" s="5">
        <v>2850</v>
      </c>
      <c r="D9" s="5">
        <v>3100</v>
      </c>
      <c r="E9" s="5">
        <v>3450</v>
      </c>
    </row>
    <row r="12" spans="2:5" x14ac:dyDescent="0.3">
      <c r="B12" s="3" t="s">
        <v>20</v>
      </c>
      <c r="C12" s="3" t="s">
        <v>21</v>
      </c>
    </row>
    <row r="13" spans="2:5" x14ac:dyDescent="0.3">
      <c r="B13" s="4" t="s">
        <v>22</v>
      </c>
      <c r="C13" s="7">
        <v>0.42</v>
      </c>
    </row>
    <row r="14" spans="2:5" x14ac:dyDescent="0.3">
      <c r="B14" s="4" t="s">
        <v>23</v>
      </c>
      <c r="C14" s="7">
        <v>0.28000000000000003</v>
      </c>
    </row>
    <row r="15" spans="2:5" x14ac:dyDescent="0.3">
      <c r="B15" s="4" t="s">
        <v>24</v>
      </c>
      <c r="C15" s="7">
        <v>0.18</v>
      </c>
    </row>
    <row r="16" spans="2:5" x14ac:dyDescent="0.3">
      <c r="B16" s="4" t="s">
        <v>25</v>
      </c>
      <c r="C16" s="7">
        <v>7.0000000000000007E-2</v>
      </c>
    </row>
    <row r="17" spans="2:3" x14ac:dyDescent="0.3">
      <c r="B17" s="4" t="s">
        <v>26</v>
      </c>
      <c r="C17" s="7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ColumnAndBar</vt:lpstr>
      <vt:lpstr>TrendsAndShares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Ehrlander</dc:creator>
  <cp:lastModifiedBy>Marcus Ehrlander</cp:lastModifiedBy>
  <dcterms:created xsi:type="dcterms:W3CDTF">2026-09-24T21:11:45Z</dcterms:created>
  <dcterms:modified xsi:type="dcterms:W3CDTF">2026-09-24T21:11:46Z</dcterms:modified>
</cp:coreProperties>
</file>