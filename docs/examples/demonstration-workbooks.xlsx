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ehrl\Documents\Codex\2026-09-24\tak\work\excel-cleanup\"/>
    </mc:Choice>
  </mc:AlternateContent>
  <xr:revisionPtr revIDLastSave="0" documentId="13_ncr:1_{0F1FAC56-6E18-4336-A625-99EAF5CB6D6D}" xr6:coauthVersionLast="47" xr6:coauthVersionMax="47" xr10:uidLastSave="{00000000-0000-0000-0000-000000000000}"/>
  <bookViews>
    <workbookView xWindow="3072" yWindow="3072" windowWidth="11544" windowHeight="7800" firstSheet="3" activeTab="3" xr2:uid="{A2E03072-F82E-4874-88C2-2146074F9B28}"/>
  </bookViews>
  <sheets>
    <sheet name="RawData" sheetId="1" r:id="rId1"/>
    <sheet name="PivotSummary" sheetId="2" r:id="rId2"/>
    <sheet name="FormattingAndLogic" sheetId="3" r:id="rId3"/>
    <sheet name="Reconciliation" sheetId="4" r:id="rId4"/>
  </sheets>
  <definedNames>
    <definedName name="Slicer_Fund">#N/A</definedName>
  </definedNames>
  <calcPr calcId="191029" forceFullCalc="1"/>
  <pivotCaches>
    <pivotCache cacheId="1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1" i="3" l="1"/>
  <c r="C15" i="3"/>
  <c r="C10" i="3"/>
  <c r="D10" i="3"/>
  <c r="E10" i="3" s="1"/>
  <c r="H10" i="3" s="1"/>
  <c r="C9" i="3"/>
  <c r="D9" i="3"/>
  <c r="C8" i="3"/>
  <c r="D8" i="3"/>
  <c r="C7" i="3"/>
  <c r="D7" i="3"/>
  <c r="C6" i="3"/>
  <c r="D6" i="3"/>
  <c r="K30" i="1"/>
  <c r="J30" i="1"/>
  <c r="L29" i="1"/>
  <c r="N29" i="1" s="1"/>
  <c r="M29" i="1"/>
  <c r="L28" i="1"/>
  <c r="N28" i="1" s="1"/>
  <c r="M28" i="1"/>
  <c r="L27" i="1"/>
  <c r="N27" i="1" s="1"/>
  <c r="M27" i="1"/>
  <c r="L26" i="1"/>
  <c r="N26" i="1" s="1"/>
  <c r="M26" i="1"/>
  <c r="L25" i="1"/>
  <c r="M25" i="1"/>
  <c r="N25" i="1"/>
  <c r="L24" i="1"/>
  <c r="N24" i="1" s="1"/>
  <c r="M24" i="1"/>
  <c r="L23" i="1"/>
  <c r="N23" i="1" s="1"/>
  <c r="M23" i="1"/>
  <c r="L22" i="1"/>
  <c r="N22" i="1" s="1"/>
  <c r="M22" i="1"/>
  <c r="L21" i="1"/>
  <c r="N21" i="1" s="1"/>
  <c r="M21" i="1"/>
  <c r="L20" i="1"/>
  <c r="N20" i="1" s="1"/>
  <c r="M20" i="1"/>
  <c r="L19" i="1"/>
  <c r="M19" i="1"/>
  <c r="N19" i="1"/>
  <c r="L18" i="1"/>
  <c r="N18" i="1" s="1"/>
  <c r="M18" i="1"/>
  <c r="L17" i="1"/>
  <c r="N17" i="1" s="1"/>
  <c r="M17" i="1"/>
  <c r="L16" i="1"/>
  <c r="N16" i="1" s="1"/>
  <c r="M16" i="1"/>
  <c r="L15" i="1"/>
  <c r="N15" i="1" s="1"/>
  <c r="M15" i="1"/>
  <c r="L14" i="1"/>
  <c r="N14" i="1" s="1"/>
  <c r="M14" i="1"/>
  <c r="L13" i="1"/>
  <c r="N13" i="1" s="1"/>
  <c r="M13" i="1"/>
  <c r="L12" i="1"/>
  <c r="N12" i="1" s="1"/>
  <c r="M12" i="1"/>
  <c r="L11" i="1"/>
  <c r="N11" i="1" s="1"/>
  <c r="M11" i="1"/>
  <c r="L10" i="1"/>
  <c r="N10" i="1" s="1"/>
  <c r="M10" i="1"/>
  <c r="L9" i="1"/>
  <c r="N9" i="1" s="1"/>
  <c r="M9" i="1"/>
  <c r="L8" i="1"/>
  <c r="N8" i="1" s="1"/>
  <c r="M8" i="1"/>
  <c r="L7" i="1"/>
  <c r="M7" i="1"/>
  <c r="N7" i="1"/>
  <c r="L6" i="1"/>
  <c r="M6" i="1"/>
  <c r="E12" i="4"/>
  <c r="F12" i="4" s="1"/>
  <c r="E11" i="4"/>
  <c r="F11" i="4" s="1"/>
  <c r="E10" i="4"/>
  <c r="F10" i="4" s="1"/>
  <c r="E6" i="4" l="1"/>
  <c r="F6" i="4" s="1"/>
  <c r="E9" i="4"/>
  <c r="F9" i="4" s="1"/>
  <c r="E8" i="3"/>
  <c r="E7" i="4"/>
  <c r="F7" i="4" s="1"/>
  <c r="E9" i="3"/>
  <c r="H9" i="3" s="1"/>
  <c r="E7" i="3"/>
  <c r="H7" i="3" s="1"/>
  <c r="E6" i="3"/>
  <c r="N6" i="1"/>
  <c r="N30" i="1" s="1"/>
  <c r="L30" i="1"/>
  <c r="F10" i="3"/>
  <c r="G10" i="3" s="1"/>
  <c r="F9" i="3"/>
  <c r="G9" i="3" s="1"/>
  <c r="F7" i="3"/>
  <c r="G7" i="3" s="1"/>
  <c r="H6" i="3" l="1"/>
  <c r="F6" i="3"/>
  <c r="G6" i="3" s="1"/>
  <c r="H8" i="3"/>
  <c r="E8" i="4"/>
  <c r="F8" i="4" s="1"/>
  <c r="F8" i="3"/>
  <c r="G8" i="3" s="1"/>
</calcChain>
</file>

<file path=xl/sharedStrings.xml><?xml version="1.0" encoding="utf-8"?>
<sst xmlns="http://schemas.openxmlformats.org/spreadsheetml/2006/main" count="236" uniqueCount="88">
  <si>
    <t>Enterprise Budget &amp; Outlay Dataset</t>
  </si>
  <si>
    <t>Synthesized operational transactions across four biennia (Dollars in thousands)</t>
  </si>
  <si>
    <t>RecordID</t>
  </si>
  <si>
    <t>Division</t>
  </si>
  <si>
    <t>Program</t>
  </si>
  <si>
    <t>Fund</t>
  </si>
  <si>
    <t>Object</t>
  </si>
  <si>
    <t>FiscalYear</t>
  </si>
  <si>
    <t>Quarter</t>
  </si>
  <si>
    <t>FTE</t>
  </si>
  <si>
    <t>Budget</t>
  </si>
  <si>
    <t>Actual</t>
  </si>
  <si>
    <t>Variance</t>
  </si>
  <si>
    <t>VariancePct</t>
  </si>
  <si>
    <t>Status</t>
  </si>
  <si>
    <t>Retirement Services</t>
  </si>
  <si>
    <t>Member Portals</t>
  </si>
  <si>
    <t>Fund 600</t>
  </si>
  <si>
    <t>Contracts (C)</t>
  </si>
  <si>
    <t>FY2028</t>
  </si>
  <si>
    <t>Q1</t>
  </si>
  <si>
    <t>Salaries (A)</t>
  </si>
  <si>
    <t>Information Technology</t>
  </si>
  <si>
    <t>CORE PAM Modernization</t>
  </si>
  <si>
    <t>Fund 001</t>
  </si>
  <si>
    <t>Equipment (G)</t>
  </si>
  <si>
    <t>Operations</t>
  </si>
  <si>
    <t>Agency Administration</t>
  </si>
  <si>
    <t>Goods &amp; Services (E)</t>
  </si>
  <si>
    <t>Actuarial &amp; Finance</t>
  </si>
  <si>
    <t>Plan 2 Operations</t>
  </si>
  <si>
    <t>Judicial Systems</t>
  </si>
  <si>
    <t>Fund 204</t>
  </si>
  <si>
    <t>Benefits (B)</t>
  </si>
  <si>
    <t>Q2</t>
  </si>
  <si>
    <t>FY2029</t>
  </si>
  <si>
    <t>Total</t>
  </si>
  <si>
    <t>Multi-Dimensional Program Allocation (Pivot Table)</t>
  </si>
  <si>
    <t>Programmatic aggregation, variance calculated field, and interactive cross-filters</t>
  </si>
  <si>
    <t>Grand Total</t>
  </si>
  <si>
    <t>Sum of Budget</t>
  </si>
  <si>
    <t>Total Sum of Budget</t>
  </si>
  <si>
    <t>Total Sum of Actual</t>
  </si>
  <si>
    <t>Sum of Actual</t>
  </si>
  <si>
    <t>Total Variance ($)</t>
  </si>
  <si>
    <t>Variance ($)</t>
  </si>
  <si>
    <t>Values</t>
  </si>
  <si>
    <t>Actuarial &amp; Finance Total</t>
  </si>
  <si>
    <t>Information Technology Total</t>
  </si>
  <si>
    <t>Operations Total</t>
  </si>
  <si>
    <t>Retirement Services Total</t>
  </si>
  <si>
    <t>Cell Formatting, Color Scales &amp; Dynamic Formulas</t>
  </si>
  <si>
    <t>Demonstrating modern conditional formats, heatmaps, and spilled calculation logic</t>
  </si>
  <si>
    <t>FY28 Budget</t>
  </si>
  <si>
    <t>FY28 Actual</t>
  </si>
  <si>
    <t>Variance (%)</t>
  </si>
  <si>
    <t>Performance Heatmap</t>
  </si>
  <si>
    <t>Outlay Data Bar</t>
  </si>
  <si>
    <t>Dynamic Array Logic &amp; Filter Demonstrations</t>
  </si>
  <si>
    <t>Distinct Divisions:</t>
  </si>
  <si>
    <t>Top Budgeted Transaction (&gt; $2,500k):</t>
  </si>
  <si>
    <t>Mathematical Verification &amp; Cross-Route Checks</t>
  </si>
  <si>
    <t>Proving formula consistency between structured tables, pivot aggregates, and dashboard formulas</t>
  </si>
  <si>
    <t>Check Description</t>
  </si>
  <si>
    <t>Source 1 Expression</t>
  </si>
  <si>
    <t>Source 2 Expression</t>
  </si>
  <si>
    <t>Diff Formula</t>
  </si>
  <si>
    <t>FY28 Actual: RawData SUMIFS vs Dashboard SUM</t>
  </si>
  <si>
    <t>SUMIFS(RawData Actual, FY28)</t>
  </si>
  <si>
    <t>FormattingAndLogic FY28 Actual SUM</t>
  </si>
  <si>
    <t>FY28 Budget: RawData SUMIFS vs Dashboard SUM</t>
  </si>
  <si>
    <t>SUMIFS(RawData Budget, FY28)</t>
  </si>
  <si>
    <t>FormattingAndLogic FY28 Budget SUM</t>
  </si>
  <si>
    <t>FY28 Dashboard Variance Identity</t>
  </si>
  <si>
    <t>Dashboard Actual - Budget</t>
  </si>
  <si>
    <t>Dashboard Variance Column SUM</t>
  </si>
  <si>
    <t>Full Dataset Net Variance Identity</t>
  </si>
  <si>
    <t>SUM(Actual) - SUM(Budget)</t>
  </si>
  <si>
    <t>SUM(Variance Column)</t>
  </si>
  <si>
    <t>PivotTable Budget: source data vs grand total</t>
  </si>
  <si>
    <t>Financials[Budget]</t>
  </si>
  <si>
    <t>FinancialPivot: Sum of Budget</t>
  </si>
  <si>
    <t>PivotTable Actual: source data vs grand total</t>
  </si>
  <si>
    <t>Financials[Actual]</t>
  </si>
  <si>
    <t>FinancialPivot: Sum of Actual</t>
  </si>
  <si>
    <t>PivotTable Variance: source data vs grand total</t>
  </si>
  <si>
    <t>Financials[Variance]</t>
  </si>
  <si>
    <t>FinancialPivot: Variance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</si>
</sst>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quot;$&quot;#,##0\);&quot;-&quot;"/>
    <numFmt numFmtId="165" formatCode="\+&quot;$&quot;#,##0;\-&quot;$&quot;#,##0;&quot;-&quot;"/>
    <numFmt numFmtId="166" formatCode="\+0.0%;\-0.0%;&quot;0.0%&quot;"/>
    <numFmt numFmtId="167" formatCode="0.0;\(0.0\)"/>
    <numFmt numFmtId="168" formatCode="&quot;$&quot;#,##0.00;\(&quot;$&quot;#,##0.00\);&quot;-&quot;"/>
  </numFmts>
  <fonts count="8" x14ac:knownFonts="1">
    <font>
      <sz val="11"/>
      <color theme="1"/>
      <name val="Aptos Narrow"/>
      <family val="2"/>
      <scheme val="minor"/>
    </font>
    <font>
      <b/>
      <sz val="11"/>
      <color theme="1"/>
      <name val="Aptos Narrow"/>
      <family val="2"/>
      <scheme val="minor"/>
    </font>
    <font>
      <b/>
      <sz val="16"/>
      <color theme="1"/>
      <name val="Aptos Narrow"/>
      <family val="2"/>
      <scheme val="minor"/>
    </font>
    <font>
      <i/>
      <sz val="11"/>
      <color theme="1"/>
      <name val="Aptos Narrow"/>
      <family val="2"/>
      <scheme val="minor"/>
    </font>
    <font>
      <i/>
      <sz val="11"/>
      <color rgb="FF595959"/>
      <name val="Aptos Narrow"/>
      <family val="2"/>
      <scheme val="minor"/>
    </font>
    <font>
      <b/>
      <sz val="11"/>
      <color rgb="FFFFFFFF"/>
      <name val="Aptos Narrow"/>
      <family val="2"/>
      <scheme val="minor"/>
    </font>
    <font>
      <b/>
      <sz val="13"/>
      <color theme="1"/>
      <name val="Aptos Narrow"/>
      <family val="2"/>
      <scheme val="minor"/>
    </font>
    <font>
      <b/>
      <sz val="11"/>
      <color rgb="FF008000"/>
      <name val="Aptos Narrow"/>
      <family val="2"/>
      <scheme val="minor"/>
    </font>
  </fonts>
  <fills count="3">
    <fill>
      <patternFill patternType="none"/>
    </fill>
    <fill>
      <patternFill patternType="gray125"/>
    </fill>
    <fill>
      <patternFill patternType="solid">
        <fgColor rgb="FF242424"/>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4" fillId="0" borderId="0" xfId="0" applyFon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pivotButton="1"/>
    <xf numFmtId="0" fontId="1" fillId="0" borderId="0" xfId="0" applyFont="1"/>
    <xf numFmtId="0" fontId="5" fillId="2" borderId="0" xfId="0" applyFont="1" applyFill="1"/>
    <xf numFmtId="0" fontId="6" fillId="0" borderId="0" xfId="0" applyFont="1"/>
    <xf numFmtId="168" fontId="0" fillId="0" borderId="0" xfId="0" applyNumberFormat="1"/>
    <xf numFmtId="0" fontId="7" fillId="0" borderId="0" xfId="0" applyFont="1"/>
  </cellXfs>
  <cellStyles count="1">
    <cellStyle name="Normal" xfId="0" builtinId="0"/>
  </cellStyles>
  <dxfs count="8">
    <dxf>
      <numFmt numFmtId="166" formatCode="\+0.0%;\-0.0%;&quot;0.0%&quot;"/>
    </dxf>
    <dxf>
      <numFmt numFmtId="165" formatCode="\+&quot;$&quot;#,##0;\-&quot;$&quot;#,##0;&quot;-&quot;"/>
    </dxf>
    <dxf>
      <numFmt numFmtId="165" formatCode="\+&quot;$&quot;#,##0;\-&quot;$&quot;#,##0;&quot;-&quot;"/>
    </dxf>
    <dxf>
      <numFmt numFmtId="164" formatCode="&quot;$&quot;#,##0;\(&quot;$&quot;#,##0\);&quot;-&quot;"/>
    </dxf>
    <dxf>
      <numFmt numFmtId="164" formatCode="&quot;$&quot;#,##0;\(&quot;$&quot;#,##0\);&quot;-&quot;"/>
    </dxf>
    <dxf>
      <numFmt numFmtId="164" formatCode="&quot;$&quot;#,##0;\(&quot;$&quot;#,##0\);&quot;-&quot;"/>
    </dxf>
    <dxf>
      <numFmt numFmtId="164" formatCode="&quot;$&quot;#,##0;\(&quot;$&quot;#,##0\);&quot;-&quot;"/>
    </dxf>
    <dxf>
      <numFmt numFmtId="167"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10</xdr:col>
      <xdr:colOff>866140</xdr:colOff>
      <xdr:row>5</xdr:row>
      <xdr:rowOff>17780</xdr:rowOff>
    </xdr:from>
    <xdr:to>
      <xdr:col>12</xdr:col>
      <xdr:colOff>419100</xdr:colOff>
      <xdr:row>16</xdr:row>
      <xdr:rowOff>38100</xdr:rowOff>
    </xdr:to>
    <mc:AlternateContent xmlns:mc="http://schemas.openxmlformats.org/markup-compatibility/2006" xmlns:a14="http://schemas.microsoft.com/office/drawing/2010/main">
      <mc:Choice Requires="a14">
        <xdr:graphicFrame macro="">
          <xdr:nvGraphicFramePr>
            <xdr:cNvPr id="2" name="FundSlicer">
              <a:extLst>
                <a:ext uri="{FF2B5EF4-FFF2-40B4-BE49-F238E27FC236}">
                  <a16:creationId xmlns:a16="http://schemas.microsoft.com/office/drawing/2014/main" id="{17609C9E-CF5A-2169-BD7C-690D1259B2D7}"/>
                </a:ext>
              </a:extLst>
            </xdr:cNvPr>
            <xdr:cNvGraphicFramePr/>
          </xdr:nvGraphicFramePr>
          <xdr:xfrm>
            <a:off x="0" y="0"/>
            <a:ext cx="0" cy="0"/>
          </xdr:xfrm>
          <a:graphic>
            <a:graphicData uri="http://schemas.microsoft.com/office/drawing/2010/slicer">
              <sle:slicer xmlns:sle="http://schemas.microsoft.com/office/drawing/2010/slicer" name="FundSlicer"/>
            </a:graphicData>
          </a:graphic>
        </xdr:graphicFrame>
      </mc:Choice>
      <mc:Fallback xmlns="">
        <xdr:sp macro="" textlink="">
          <xdr:nvSpPr>
            <xdr:cNvPr id="0" name=""/>
            <xdr:cNvSpPr>
              <a:spLocks noTextEdit="1"/>
            </xdr:cNvSpPr>
          </xdr:nvSpPr>
          <xdr:spPr>
            <a:xfrm>
              <a:off x="13370560" y="1016000"/>
              <a:ext cx="1778000" cy="20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us Ehrlander" refreshedDate="46290.297465625001" createdVersion="8" refreshedVersion="8" minRefreshableVersion="3" recordCount="24" xr:uid="{C955F642-3C04-48D0-869F-B924660F37B9}">
  <cacheSource type="worksheet">
    <worksheetSource name="Financials"/>
  </cacheSource>
  <cacheFields count="14">
    <cacheField name="RecordID" numFmtId="0">
      <sharedItems containsSemiMixedTypes="0" containsString="0" containsNumber="1" containsInteger="1" minValue="1" maxValue="24"/>
    </cacheField>
    <cacheField name="Division" numFmtId="0">
      <sharedItems containsBlank="1" count="5">
        <s v="Retirement Services"/>
        <s v="Information Technology"/>
        <s v="Operations"/>
        <s v="Actuarial &amp; Finance"/>
        <m u="1"/>
      </sharedItems>
    </cacheField>
    <cacheField name="Program" numFmtId="0">
      <sharedItems containsBlank="1" count="6">
        <s v="Member Portals"/>
        <s v="CORE PAM Modernization"/>
        <s v="Agency Administration"/>
        <s v="Plan 2 Operations"/>
        <s v="Judicial Systems"/>
        <m u="1"/>
      </sharedItems>
    </cacheField>
    <cacheField name="Fund" numFmtId="0">
      <sharedItems containsBlank="1" count="4">
        <s v="Fund 600"/>
        <s v="Fund 001"/>
        <s v="Fund 204"/>
        <m u="1"/>
      </sharedItems>
    </cacheField>
    <cacheField name="Object" numFmtId="0">
      <sharedItems/>
    </cacheField>
    <cacheField name="FiscalYear" numFmtId="0">
      <sharedItems containsBlank="1" count="3">
        <s v="FY2028"/>
        <s v="FY2029"/>
        <m u="1"/>
      </sharedItems>
    </cacheField>
    <cacheField name="Quarter" numFmtId="0">
      <sharedItems/>
    </cacheField>
    <cacheField name="FTE" numFmtId="167">
      <sharedItems containsSemiMixedTypes="0" containsString="0" containsNumber="1" minValue="0" maxValue="12"/>
    </cacheField>
    <cacheField name="Budget" numFmtId="164">
      <sharedItems containsSemiMixedTypes="0" containsString="0" containsNumber="1" containsInteger="1" minValue="180" maxValue="3100"/>
    </cacheField>
    <cacheField name="Actual" numFmtId="164">
      <sharedItems containsSemiMixedTypes="0" containsString="0" containsNumber="1" containsInteger="1" minValue="185" maxValue="3050"/>
    </cacheField>
    <cacheField name="Variance" numFmtId="165">
      <sharedItems containsSemiMixedTypes="0" containsString="0" containsNumber="1" containsInteger="1" minValue="-50" maxValue="150"/>
    </cacheField>
    <cacheField name="VariancePct" numFmtId="166">
      <sharedItems containsSemiMixedTypes="0" containsString="0" containsNumber="1" minValue="-8.8888888888888892E-2" maxValue="0.16666666666666666"/>
    </cacheField>
    <cacheField name="Status" numFmtId="0">
      <sharedItems/>
    </cacheField>
    <cacheField name="Net Variance" numFmtId="0" formula="Actual-Budget" databaseField="0"/>
  </cacheFields>
  <extLst>
    <ext xmlns:x14="http://schemas.microsoft.com/office/spreadsheetml/2009/9/main" uri="{725AE2AE-9491-48be-B2B4-4EB974FC3084}">
      <x14:pivotCacheDefinition pivotCacheId="1350808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n v="1"/>
    <x v="0"/>
    <x v="0"/>
    <x v="0"/>
    <s v="Contracts (C)"/>
    <x v="0"/>
    <s v="Q1"/>
    <n v="4.5"/>
    <n v="950"/>
    <n v="920"/>
    <n v="-30"/>
    <n v="-3.1578947368421054E-2"/>
    <s v="Under Budget"/>
  </r>
  <r>
    <n v="2"/>
    <x v="0"/>
    <x v="0"/>
    <x v="0"/>
    <s v="Salaries (A)"/>
    <x v="0"/>
    <s v="Q1"/>
    <n v="2.6"/>
    <n v="320"/>
    <n v="315"/>
    <n v="-5"/>
    <n v="-1.5625E-2"/>
    <s v="Under Budget"/>
  </r>
  <r>
    <n v="3"/>
    <x v="1"/>
    <x v="1"/>
    <x v="1"/>
    <s v="Contracts (C)"/>
    <x v="0"/>
    <s v="Q1"/>
    <n v="12"/>
    <n v="2800"/>
    <n v="2950"/>
    <n v="150"/>
    <n v="5.3571428571428568E-2"/>
    <s v="Over Budget"/>
  </r>
  <r>
    <n v="4"/>
    <x v="1"/>
    <x v="1"/>
    <x v="0"/>
    <s v="Equipment (G)"/>
    <x v="0"/>
    <s v="Q1"/>
    <n v="0"/>
    <n v="450"/>
    <n v="410"/>
    <n v="-40"/>
    <n v="-8.8888888888888892E-2"/>
    <s v="Under Budget"/>
  </r>
  <r>
    <n v="5"/>
    <x v="2"/>
    <x v="2"/>
    <x v="1"/>
    <s v="Salaries (A)"/>
    <x v="0"/>
    <s v="Q1"/>
    <n v="8"/>
    <n v="680"/>
    <n v="675"/>
    <n v="-5"/>
    <n v="-7.3529411764705881E-3"/>
    <s v="Under Budget"/>
  </r>
  <r>
    <n v="6"/>
    <x v="2"/>
    <x v="2"/>
    <x v="1"/>
    <s v="Goods &amp; Services (E)"/>
    <x v="0"/>
    <s v="Q1"/>
    <n v="0"/>
    <n v="180"/>
    <n v="210"/>
    <n v="30"/>
    <n v="0.16666666666666666"/>
    <s v="Over Budget"/>
  </r>
  <r>
    <n v="7"/>
    <x v="3"/>
    <x v="3"/>
    <x v="1"/>
    <s v="Salaries (A)"/>
    <x v="0"/>
    <s v="Q1"/>
    <n v="5"/>
    <n v="520"/>
    <n v="510"/>
    <n v="-10"/>
    <n v="-1.9230769230769232E-2"/>
    <s v="Under Budget"/>
  </r>
  <r>
    <n v="8"/>
    <x v="3"/>
    <x v="4"/>
    <x v="2"/>
    <s v="Benefits (B)"/>
    <x v="0"/>
    <s v="Q1"/>
    <n v="0"/>
    <n v="1200"/>
    <n v="1200"/>
    <n v="0"/>
    <n v="0"/>
    <s v="On Target"/>
  </r>
  <r>
    <n v="9"/>
    <x v="0"/>
    <x v="0"/>
    <x v="0"/>
    <s v="Contracts (C)"/>
    <x v="0"/>
    <s v="Q2"/>
    <n v="4.5"/>
    <n v="980"/>
    <n v="1020"/>
    <n v="40"/>
    <n v="4.0816326530612242E-2"/>
    <s v="Over Budget"/>
  </r>
  <r>
    <n v="10"/>
    <x v="0"/>
    <x v="0"/>
    <x v="0"/>
    <s v="Salaries (A)"/>
    <x v="0"/>
    <s v="Q2"/>
    <n v="2.6"/>
    <n v="325"/>
    <n v="330"/>
    <n v="5"/>
    <n v="1.5384615384615385E-2"/>
    <s v="Over Budget"/>
  </r>
  <r>
    <n v="11"/>
    <x v="1"/>
    <x v="1"/>
    <x v="1"/>
    <s v="Contracts (C)"/>
    <x v="0"/>
    <s v="Q2"/>
    <n v="12"/>
    <n v="3100"/>
    <n v="3050"/>
    <n v="-50"/>
    <n v="-1.6129032258064516E-2"/>
    <s v="Under Budget"/>
  </r>
  <r>
    <n v="12"/>
    <x v="1"/>
    <x v="1"/>
    <x v="0"/>
    <s v="Equipment (G)"/>
    <x v="0"/>
    <s v="Q2"/>
    <n v="0"/>
    <n v="500"/>
    <n v="580"/>
    <n v="80"/>
    <n v="0.16"/>
    <s v="Over Budget"/>
  </r>
  <r>
    <n v="13"/>
    <x v="2"/>
    <x v="2"/>
    <x v="1"/>
    <s v="Salaries (A)"/>
    <x v="0"/>
    <s v="Q2"/>
    <n v="8"/>
    <n v="680"/>
    <n v="690"/>
    <n v="10"/>
    <n v="1.4705882352941176E-2"/>
    <s v="Over Budget"/>
  </r>
  <r>
    <n v="14"/>
    <x v="2"/>
    <x v="2"/>
    <x v="1"/>
    <s v="Goods &amp; Services (E)"/>
    <x v="0"/>
    <s v="Q2"/>
    <n v="0"/>
    <n v="190"/>
    <n v="185"/>
    <n v="-5"/>
    <n v="-2.6315789473684209E-2"/>
    <s v="Under Budget"/>
  </r>
  <r>
    <n v="15"/>
    <x v="3"/>
    <x v="3"/>
    <x v="1"/>
    <s v="Salaries (A)"/>
    <x v="0"/>
    <s v="Q2"/>
    <n v="5"/>
    <n v="530"/>
    <n v="525"/>
    <n v="-5"/>
    <n v="-9.433962264150943E-3"/>
    <s v="Under Budget"/>
  </r>
  <r>
    <n v="16"/>
    <x v="3"/>
    <x v="4"/>
    <x v="2"/>
    <s v="Benefits (B)"/>
    <x v="0"/>
    <s v="Q2"/>
    <n v="0"/>
    <n v="1250"/>
    <n v="1240"/>
    <n v="-10"/>
    <n v="-8.0000000000000002E-3"/>
    <s v="Under Budget"/>
  </r>
  <r>
    <n v="17"/>
    <x v="0"/>
    <x v="0"/>
    <x v="0"/>
    <s v="Contracts (C)"/>
    <x v="1"/>
    <s v="Q1"/>
    <n v="6"/>
    <n v="1450"/>
    <n v="1420"/>
    <n v="-30"/>
    <n v="-2.0689655172413793E-2"/>
    <s v="Under Budget"/>
  </r>
  <r>
    <n v="18"/>
    <x v="0"/>
    <x v="0"/>
    <x v="0"/>
    <s v="Salaries (A)"/>
    <x v="1"/>
    <s v="Q1"/>
    <n v="4"/>
    <n v="480"/>
    <n v="510"/>
    <n v="30"/>
    <n v="6.25E-2"/>
    <s v="Over Budget"/>
  </r>
  <r>
    <n v="19"/>
    <x v="1"/>
    <x v="1"/>
    <x v="1"/>
    <s v="Contracts (C)"/>
    <x v="1"/>
    <s v="Q1"/>
    <n v="7"/>
    <n v="1800"/>
    <n v="1750"/>
    <n v="-50"/>
    <n v="-2.7777777777777776E-2"/>
    <s v="Under Budget"/>
  </r>
  <r>
    <n v="20"/>
    <x v="1"/>
    <x v="1"/>
    <x v="0"/>
    <s v="Equipment (G)"/>
    <x v="1"/>
    <s v="Q1"/>
    <n v="0"/>
    <n v="300"/>
    <n v="290"/>
    <n v="-10"/>
    <n v="-3.3333333333333333E-2"/>
    <s v="Under Budget"/>
  </r>
  <r>
    <n v="21"/>
    <x v="2"/>
    <x v="2"/>
    <x v="1"/>
    <s v="Salaries (A)"/>
    <x v="1"/>
    <s v="Q1"/>
    <n v="8"/>
    <n v="710"/>
    <n v="720"/>
    <n v="10"/>
    <n v="1.4084507042253521E-2"/>
    <s v="Over Budget"/>
  </r>
  <r>
    <n v="22"/>
    <x v="2"/>
    <x v="2"/>
    <x v="1"/>
    <s v="Goods &amp; Services (E)"/>
    <x v="1"/>
    <s v="Q1"/>
    <n v="0"/>
    <n v="205"/>
    <n v="230"/>
    <n v="25"/>
    <n v="0.12195121951219512"/>
    <s v="Over Budget"/>
  </r>
  <r>
    <n v="23"/>
    <x v="3"/>
    <x v="3"/>
    <x v="1"/>
    <s v="Salaries (A)"/>
    <x v="1"/>
    <s v="Q1"/>
    <n v="5"/>
    <n v="550"/>
    <n v="550"/>
    <n v="0"/>
    <n v="0"/>
    <s v="On Target"/>
  </r>
  <r>
    <n v="24"/>
    <x v="3"/>
    <x v="4"/>
    <x v="2"/>
    <s v="Benefits (B)"/>
    <x v="1"/>
    <s v="Q1"/>
    <n v="0"/>
    <n v="1300"/>
    <n v="1315"/>
    <n v="15"/>
    <n v="1.1538461538461539E-2"/>
    <s v="Over Bud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C2BA00-8441-415C-95B4-8F692ECF49D5}" name="FinancialPivot" cacheId="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5:L17" firstHeaderRow="1" firstDataRow="3" firstDataCol="2"/>
  <pivotFields count="14">
    <pivotField compact="0" outline="0" showAll="0"/>
    <pivotField axis="axisRow" compact="0" outline="0" showAll="0">
      <items count="6">
        <item x="3"/>
        <item x="1"/>
        <item x="2"/>
        <item x="0"/>
        <item m="1" x="4"/>
        <item t="default"/>
      </items>
    </pivotField>
    <pivotField axis="axisRow" compact="0" outline="0" showAll="0">
      <items count="7">
        <item x="2"/>
        <item x="1"/>
        <item x="4"/>
        <item x="0"/>
        <item x="3"/>
        <item m="1" x="5"/>
        <item t="default"/>
      </items>
    </pivotField>
    <pivotField compact="0" outline="0" showAll="0">
      <items count="5">
        <item x="1"/>
        <item x="2"/>
        <item x="0"/>
        <item m="1" x="3"/>
        <item t="default"/>
      </items>
    </pivotField>
    <pivotField compact="0" outline="0" showAll="0"/>
    <pivotField axis="axisCol" compact="0" outline="0" showAll="0">
      <items count="4">
        <item x="0"/>
        <item x="1"/>
        <item m="1" x="2"/>
        <item t="default"/>
      </items>
    </pivotField>
    <pivotField compact="0" outline="0" showAll="0"/>
    <pivotField compact="0" outline="0" showAll="0"/>
    <pivotField dataField="1" compact="0" numFmtId="164" outline="0" showAll="0"/>
    <pivotField dataField="1" compact="0" numFmtId="164" outline="0" showAll="0"/>
    <pivotField compact="0" numFmtId="165" outline="0" showAll="0"/>
    <pivotField compact="0" outline="0" showAll="0"/>
    <pivotField compact="0" outline="0" showAll="0"/>
    <pivotField dataField="1" compact="0" outline="0" dragToRow="0" dragToCol="0" dragToPage="0" showAll="0" defaultSubtotal="0"/>
  </pivotFields>
  <rowFields count="2">
    <field x="1"/>
    <field x="2"/>
  </rowFields>
  <rowItems count="10">
    <i>
      <x/>
      <x v="2"/>
    </i>
    <i r="1">
      <x v="4"/>
    </i>
    <i t="default">
      <x/>
    </i>
    <i>
      <x v="1"/>
      <x v="1"/>
    </i>
    <i t="default">
      <x v="1"/>
    </i>
    <i>
      <x v="2"/>
      <x/>
    </i>
    <i t="default">
      <x v="2"/>
    </i>
    <i>
      <x v="3"/>
      <x v="3"/>
    </i>
    <i t="default">
      <x v="3"/>
    </i>
    <i t="grand">
      <x/>
    </i>
  </rowItems>
  <colFields count="2">
    <field x="5"/>
    <field x="-2"/>
  </colFields>
  <colItems count="9">
    <i>
      <x/>
      <x/>
    </i>
    <i r="1" i="1">
      <x v="1"/>
    </i>
    <i r="1" i="2">
      <x v="2"/>
    </i>
    <i>
      <x v="1"/>
      <x/>
    </i>
    <i r="1" i="1">
      <x v="1"/>
    </i>
    <i r="1" i="2">
      <x v="2"/>
    </i>
    <i t="grand">
      <x/>
    </i>
    <i t="grand" i="1">
      <x/>
    </i>
    <i t="grand" i="2">
      <x/>
    </i>
  </colItems>
  <dataFields count="3">
    <dataField name="Sum of Budget" fld="8" baseField="0" baseItem="0" numFmtId="164"/>
    <dataField name="Sum of Actual" fld="9" baseField="0" baseItem="0" numFmtId="164"/>
    <dataField name="Variance ($)" fld="13" baseField="0" baseItem="0" numFmtId="165"/>
  </dataField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 xr10:uid="{A26CD66E-4082-48F4-A461-383A8C94BF55}" sourceName="Fund">
  <pivotTables>
    <pivotTable tabId="2" name="FinancialPivot"/>
  </pivotTables>
  <data>
    <tabular pivotCacheId="1350808129">
      <items count="4">
        <i x="1" s="1"/>
        <i x="2"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ndSlicer" xr10:uid="{3DEF3696-9E5C-43F9-9FED-E333C4F3C967}" cache="Slicer_Fund" caption="Fund Fil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9EEEC7-EA22-43D1-846F-CAD5409F33F1}" name="Financials" displayName="Financials" ref="B5:N30" totalsRowCount="1">
  <autoFilter ref="B5:N29" xr:uid="{5B9EEEC7-EA22-43D1-846F-CAD5409F33F1}"/>
  <tableColumns count="13">
    <tableColumn id="1" xr3:uid="{47D1C422-FFD2-4003-9724-5D718B5ED8C4}" name="RecordID" totalsRowLabel="Total"/>
    <tableColumn id="2" xr3:uid="{CEE63F21-7F35-4B3D-8D07-4D119A655A39}" name="Division"/>
    <tableColumn id="3" xr3:uid="{DDB9A77F-6FC6-440F-9199-9F0E8E560E89}" name="Program"/>
    <tableColumn id="4" xr3:uid="{441FCDD7-0904-48C3-B651-E3B8ABFF6E4F}" name="Fund"/>
    <tableColumn id="5" xr3:uid="{7630A75F-31E4-4DA8-9A32-3F5953878FB7}" name="Object"/>
    <tableColumn id="6" xr3:uid="{A59C23F8-5262-43E0-B029-161220E8BB45}" name="FiscalYear"/>
    <tableColumn id="7" xr3:uid="{E33598B0-AC70-4BC5-B182-3118E741C4BD}" name="Quarter"/>
    <tableColumn id="8" xr3:uid="{C0D3E3DA-94B9-4E42-B2A7-7A18997F8D76}" name="FTE" dataDxfId="7"/>
    <tableColumn id="9" xr3:uid="{3DC59B36-B8D2-4B7D-9A8D-1FE0AAB82D09}" name="Budget" totalsRowFunction="sum" dataDxfId="6" totalsRowDxfId="5"/>
    <tableColumn id="10" xr3:uid="{5D5A25B5-ECCB-4B4A-8926-1B81831280D2}" name="Actual" totalsRowFunction="sum" dataDxfId="4" totalsRowDxfId="3"/>
    <tableColumn id="11" xr3:uid="{F5959E5D-2C7F-4F4D-9BD2-1EC1EEB53F3A}" name="Variance" totalsRowFunction="sum" dataDxfId="2" totalsRowDxfId="1">
      <calculatedColumnFormula>K6-J6</calculatedColumnFormula>
    </tableColumn>
    <tableColumn id="12" xr3:uid="{3A3D4971-7CAB-4BD9-A15D-B361C5C11A2C}" name="VariancePct" dataDxfId="0">
      <calculatedColumnFormula>IF(J6&lt;&gt;0,(K6-J6)/J6,0)</calculatedColumnFormula>
    </tableColumn>
    <tableColumn id="13" xr3:uid="{9A532B6D-3D46-4391-A1D6-9345B325AC88}" name="Status" totalsRowFunction="count">
      <calculatedColumnFormula>IF(L6&gt;0,"Over Budget",IF(L6&lt;0,"Under Budget","On Target"))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2ED1-D5BA-483A-8E8E-9A9CE22FF2CB}">
  <dimension ref="B2:N30"/>
  <sheetViews>
    <sheetView topLeftCell="A25" workbookViewId="0"/>
  </sheetViews>
  <sheetFormatPr defaultRowHeight="14.4" x14ac:dyDescent="0.3"/>
  <cols>
    <col min="2" max="2" width="65.44140625" bestFit="1" customWidth="1"/>
    <col min="3" max="3" width="19.77734375" bestFit="1" customWidth="1"/>
    <col min="4" max="4" width="21.6640625" bestFit="1" customWidth="1"/>
    <col min="5" max="5" width="8.33203125" bestFit="1" customWidth="1"/>
    <col min="6" max="6" width="17.5546875" bestFit="1" customWidth="1"/>
    <col min="7" max="7" width="11.88671875" bestFit="1" customWidth="1"/>
    <col min="8" max="8" width="9.5546875" bestFit="1" customWidth="1"/>
    <col min="9" max="9" width="6.109375" bestFit="1" customWidth="1"/>
    <col min="10" max="10" width="9" bestFit="1" customWidth="1"/>
    <col min="11" max="11" width="8.5546875" bestFit="1" customWidth="1"/>
    <col min="12" max="12" width="10.5546875" bestFit="1" customWidth="1"/>
    <col min="13" max="13" width="13.33203125" bestFit="1" customWidth="1"/>
    <col min="14" max="14" width="11.77734375" bestFit="1" customWidth="1"/>
  </cols>
  <sheetData>
    <row r="2" spans="2:14" ht="21" x14ac:dyDescent="0.4">
      <c r="B2" s="1" t="s">
        <v>0</v>
      </c>
    </row>
    <row r="3" spans="2:14" x14ac:dyDescent="0.3">
      <c r="B3" s="3" t="s">
        <v>1</v>
      </c>
    </row>
    <row r="5" spans="2:14" x14ac:dyDescent="0.3">
      <c r="B5" t="s">
        <v>2</v>
      </c>
      <c r="C5" t="s">
        <v>3</v>
      </c>
      <c r="D5" t="s">
        <v>4</v>
      </c>
      <c r="E5" t="s">
        <v>5</v>
      </c>
      <c r="F5" t="s">
        <v>6</v>
      </c>
      <c r="G5" t="s">
        <v>7</v>
      </c>
      <c r="H5" t="s">
        <v>8</v>
      </c>
      <c r="I5" t="s">
        <v>9</v>
      </c>
      <c r="J5" t="s">
        <v>10</v>
      </c>
      <c r="K5" t="s">
        <v>11</v>
      </c>
      <c r="L5" t="s">
        <v>12</v>
      </c>
      <c r="M5" t="s">
        <v>13</v>
      </c>
      <c r="N5" t="s">
        <v>14</v>
      </c>
    </row>
    <row r="6" spans="2:14" x14ac:dyDescent="0.3">
      <c r="B6">
        <v>1</v>
      </c>
      <c r="C6" t="s">
        <v>15</v>
      </c>
      <c r="D6" t="s">
        <v>16</v>
      </c>
      <c r="E6" t="s">
        <v>17</v>
      </c>
      <c r="F6" t="s">
        <v>18</v>
      </c>
      <c r="G6" t="s">
        <v>19</v>
      </c>
      <c r="H6" t="s">
        <v>20</v>
      </c>
      <c r="I6" s="7">
        <v>4.5</v>
      </c>
      <c r="J6" s="4">
        <v>950</v>
      </c>
      <c r="K6" s="4">
        <v>920</v>
      </c>
      <c r="L6" s="5">
        <f t="shared" ref="L6:L29" si="0">K6-J6</f>
        <v>-30</v>
      </c>
      <c r="M6" s="6">
        <f t="shared" ref="M6:M29" si="1">IF(J6&lt;&gt;0,(K6-J6)/J6,0)</f>
        <v>-3.1578947368421054E-2</v>
      </c>
      <c r="N6" t="str">
        <f t="shared" ref="N6:N29" si="2">IF(L6&gt;0,"Over Budget",IF(L6&lt;0,"Under Budget","On Target"))</f>
        <v>Under Budget</v>
      </c>
    </row>
    <row r="7" spans="2:14" x14ac:dyDescent="0.3">
      <c r="B7">
        <v>2</v>
      </c>
      <c r="C7" t="s">
        <v>15</v>
      </c>
      <c r="D7" t="s">
        <v>16</v>
      </c>
      <c r="E7" t="s">
        <v>17</v>
      </c>
      <c r="F7" t="s">
        <v>21</v>
      </c>
      <c r="G7" t="s">
        <v>19</v>
      </c>
      <c r="H7" t="s">
        <v>20</v>
      </c>
      <c r="I7" s="7">
        <v>2.6</v>
      </c>
      <c r="J7" s="4">
        <v>320</v>
      </c>
      <c r="K7" s="4">
        <v>315</v>
      </c>
      <c r="L7" s="5">
        <f t="shared" si="0"/>
        <v>-5</v>
      </c>
      <c r="M7" s="6">
        <f t="shared" si="1"/>
        <v>-1.5625E-2</v>
      </c>
      <c r="N7" t="str">
        <f t="shared" si="2"/>
        <v>Under Budget</v>
      </c>
    </row>
    <row r="8" spans="2:14" x14ac:dyDescent="0.3">
      <c r="B8">
        <v>3</v>
      </c>
      <c r="C8" t="s">
        <v>22</v>
      </c>
      <c r="D8" t="s">
        <v>23</v>
      </c>
      <c r="E8" t="s">
        <v>24</v>
      </c>
      <c r="F8" t="s">
        <v>18</v>
      </c>
      <c r="G8" t="s">
        <v>19</v>
      </c>
      <c r="H8" t="s">
        <v>20</v>
      </c>
      <c r="I8" s="7">
        <v>12</v>
      </c>
      <c r="J8" s="4">
        <v>2800</v>
      </c>
      <c r="K8" s="4">
        <v>2950</v>
      </c>
      <c r="L8" s="5">
        <f t="shared" si="0"/>
        <v>150</v>
      </c>
      <c r="M8" s="6">
        <f t="shared" si="1"/>
        <v>5.3571428571428568E-2</v>
      </c>
      <c r="N8" t="str">
        <f t="shared" si="2"/>
        <v>Over Budget</v>
      </c>
    </row>
    <row r="9" spans="2:14" x14ac:dyDescent="0.3">
      <c r="B9">
        <v>4</v>
      </c>
      <c r="C9" t="s">
        <v>22</v>
      </c>
      <c r="D9" t="s">
        <v>23</v>
      </c>
      <c r="E9" t="s">
        <v>17</v>
      </c>
      <c r="F9" t="s">
        <v>25</v>
      </c>
      <c r="G9" t="s">
        <v>19</v>
      </c>
      <c r="H9" t="s">
        <v>20</v>
      </c>
      <c r="I9" s="7">
        <v>0</v>
      </c>
      <c r="J9" s="4">
        <v>450</v>
      </c>
      <c r="K9" s="4">
        <v>410</v>
      </c>
      <c r="L9" s="5">
        <f t="shared" si="0"/>
        <v>-40</v>
      </c>
      <c r="M9" s="6">
        <f t="shared" si="1"/>
        <v>-8.8888888888888892E-2</v>
      </c>
      <c r="N9" t="str">
        <f t="shared" si="2"/>
        <v>Under Budget</v>
      </c>
    </row>
    <row r="10" spans="2:14" x14ac:dyDescent="0.3">
      <c r="B10">
        <v>5</v>
      </c>
      <c r="C10" t="s">
        <v>26</v>
      </c>
      <c r="D10" t="s">
        <v>27</v>
      </c>
      <c r="E10" t="s">
        <v>24</v>
      </c>
      <c r="F10" t="s">
        <v>21</v>
      </c>
      <c r="G10" t="s">
        <v>19</v>
      </c>
      <c r="H10" t="s">
        <v>20</v>
      </c>
      <c r="I10" s="7">
        <v>8</v>
      </c>
      <c r="J10" s="4">
        <v>680</v>
      </c>
      <c r="K10" s="4">
        <v>675</v>
      </c>
      <c r="L10" s="5">
        <f t="shared" si="0"/>
        <v>-5</v>
      </c>
      <c r="M10" s="6">
        <f t="shared" si="1"/>
        <v>-7.3529411764705881E-3</v>
      </c>
      <c r="N10" t="str">
        <f t="shared" si="2"/>
        <v>Under Budget</v>
      </c>
    </row>
    <row r="11" spans="2:14" x14ac:dyDescent="0.3">
      <c r="B11">
        <v>6</v>
      </c>
      <c r="C11" t="s">
        <v>26</v>
      </c>
      <c r="D11" t="s">
        <v>27</v>
      </c>
      <c r="E11" t="s">
        <v>24</v>
      </c>
      <c r="F11" t="s">
        <v>28</v>
      </c>
      <c r="G11" t="s">
        <v>19</v>
      </c>
      <c r="H11" t="s">
        <v>20</v>
      </c>
      <c r="I11" s="7">
        <v>0</v>
      </c>
      <c r="J11" s="4">
        <v>180</v>
      </c>
      <c r="K11" s="4">
        <v>210</v>
      </c>
      <c r="L11" s="5">
        <f t="shared" si="0"/>
        <v>30</v>
      </c>
      <c r="M11" s="6">
        <f t="shared" si="1"/>
        <v>0.16666666666666666</v>
      </c>
      <c r="N11" t="str">
        <f t="shared" si="2"/>
        <v>Over Budget</v>
      </c>
    </row>
    <row r="12" spans="2:14" x14ac:dyDescent="0.3">
      <c r="B12">
        <v>7</v>
      </c>
      <c r="C12" t="s">
        <v>29</v>
      </c>
      <c r="D12" t="s">
        <v>30</v>
      </c>
      <c r="E12" t="s">
        <v>24</v>
      </c>
      <c r="F12" t="s">
        <v>21</v>
      </c>
      <c r="G12" t="s">
        <v>19</v>
      </c>
      <c r="H12" t="s">
        <v>20</v>
      </c>
      <c r="I12" s="7">
        <v>5</v>
      </c>
      <c r="J12" s="4">
        <v>520</v>
      </c>
      <c r="K12" s="4">
        <v>510</v>
      </c>
      <c r="L12" s="5">
        <f t="shared" si="0"/>
        <v>-10</v>
      </c>
      <c r="M12" s="6">
        <f t="shared" si="1"/>
        <v>-1.9230769230769232E-2</v>
      </c>
      <c r="N12" t="str">
        <f t="shared" si="2"/>
        <v>Under Budget</v>
      </c>
    </row>
    <row r="13" spans="2:14" x14ac:dyDescent="0.3">
      <c r="B13">
        <v>8</v>
      </c>
      <c r="C13" t="s">
        <v>29</v>
      </c>
      <c r="D13" t="s">
        <v>31</v>
      </c>
      <c r="E13" t="s">
        <v>32</v>
      </c>
      <c r="F13" t="s">
        <v>33</v>
      </c>
      <c r="G13" t="s">
        <v>19</v>
      </c>
      <c r="H13" t="s">
        <v>20</v>
      </c>
      <c r="I13" s="7">
        <v>0</v>
      </c>
      <c r="J13" s="4">
        <v>1200</v>
      </c>
      <c r="K13" s="4">
        <v>1200</v>
      </c>
      <c r="L13" s="5">
        <f t="shared" si="0"/>
        <v>0</v>
      </c>
      <c r="M13" s="6">
        <f t="shared" si="1"/>
        <v>0</v>
      </c>
      <c r="N13" t="str">
        <f t="shared" si="2"/>
        <v>On Target</v>
      </c>
    </row>
    <row r="14" spans="2:14" x14ac:dyDescent="0.3">
      <c r="B14">
        <v>9</v>
      </c>
      <c r="C14" t="s">
        <v>15</v>
      </c>
      <c r="D14" t="s">
        <v>16</v>
      </c>
      <c r="E14" t="s">
        <v>17</v>
      </c>
      <c r="F14" t="s">
        <v>18</v>
      </c>
      <c r="G14" t="s">
        <v>19</v>
      </c>
      <c r="H14" t="s">
        <v>34</v>
      </c>
      <c r="I14" s="7">
        <v>4.5</v>
      </c>
      <c r="J14" s="4">
        <v>980</v>
      </c>
      <c r="K14" s="4">
        <v>1020</v>
      </c>
      <c r="L14" s="5">
        <f t="shared" si="0"/>
        <v>40</v>
      </c>
      <c r="M14" s="6">
        <f t="shared" si="1"/>
        <v>4.0816326530612242E-2</v>
      </c>
      <c r="N14" t="str">
        <f t="shared" si="2"/>
        <v>Over Budget</v>
      </c>
    </row>
    <row r="15" spans="2:14" x14ac:dyDescent="0.3">
      <c r="B15">
        <v>10</v>
      </c>
      <c r="C15" t="s">
        <v>15</v>
      </c>
      <c r="D15" t="s">
        <v>16</v>
      </c>
      <c r="E15" t="s">
        <v>17</v>
      </c>
      <c r="F15" t="s">
        <v>21</v>
      </c>
      <c r="G15" t="s">
        <v>19</v>
      </c>
      <c r="H15" t="s">
        <v>34</v>
      </c>
      <c r="I15" s="7">
        <v>2.6</v>
      </c>
      <c r="J15" s="4">
        <v>325</v>
      </c>
      <c r="K15" s="4">
        <v>330</v>
      </c>
      <c r="L15" s="5">
        <f t="shared" si="0"/>
        <v>5</v>
      </c>
      <c r="M15" s="6">
        <f t="shared" si="1"/>
        <v>1.5384615384615385E-2</v>
      </c>
      <c r="N15" t="str">
        <f t="shared" si="2"/>
        <v>Over Budget</v>
      </c>
    </row>
    <row r="16" spans="2:14" x14ac:dyDescent="0.3">
      <c r="B16">
        <v>11</v>
      </c>
      <c r="C16" t="s">
        <v>22</v>
      </c>
      <c r="D16" t="s">
        <v>23</v>
      </c>
      <c r="E16" t="s">
        <v>24</v>
      </c>
      <c r="F16" t="s">
        <v>18</v>
      </c>
      <c r="G16" t="s">
        <v>19</v>
      </c>
      <c r="H16" t="s">
        <v>34</v>
      </c>
      <c r="I16" s="7">
        <v>12</v>
      </c>
      <c r="J16" s="4">
        <v>3100</v>
      </c>
      <c r="K16" s="4">
        <v>3050</v>
      </c>
      <c r="L16" s="5">
        <f t="shared" si="0"/>
        <v>-50</v>
      </c>
      <c r="M16" s="6">
        <f t="shared" si="1"/>
        <v>-1.6129032258064516E-2</v>
      </c>
      <c r="N16" t="str">
        <f t="shared" si="2"/>
        <v>Under Budget</v>
      </c>
    </row>
    <row r="17" spans="2:14" x14ac:dyDescent="0.3">
      <c r="B17">
        <v>12</v>
      </c>
      <c r="C17" t="s">
        <v>22</v>
      </c>
      <c r="D17" t="s">
        <v>23</v>
      </c>
      <c r="E17" t="s">
        <v>17</v>
      </c>
      <c r="F17" t="s">
        <v>25</v>
      </c>
      <c r="G17" t="s">
        <v>19</v>
      </c>
      <c r="H17" t="s">
        <v>34</v>
      </c>
      <c r="I17" s="7">
        <v>0</v>
      </c>
      <c r="J17" s="4">
        <v>500</v>
      </c>
      <c r="K17" s="4">
        <v>580</v>
      </c>
      <c r="L17" s="5">
        <f t="shared" si="0"/>
        <v>80</v>
      </c>
      <c r="M17" s="6">
        <f t="shared" si="1"/>
        <v>0.16</v>
      </c>
      <c r="N17" t="str">
        <f t="shared" si="2"/>
        <v>Over Budget</v>
      </c>
    </row>
    <row r="18" spans="2:14" x14ac:dyDescent="0.3">
      <c r="B18">
        <v>13</v>
      </c>
      <c r="C18" t="s">
        <v>26</v>
      </c>
      <c r="D18" t="s">
        <v>27</v>
      </c>
      <c r="E18" t="s">
        <v>24</v>
      </c>
      <c r="F18" t="s">
        <v>21</v>
      </c>
      <c r="G18" t="s">
        <v>19</v>
      </c>
      <c r="H18" t="s">
        <v>34</v>
      </c>
      <c r="I18" s="7">
        <v>8</v>
      </c>
      <c r="J18" s="4">
        <v>680</v>
      </c>
      <c r="K18" s="4">
        <v>690</v>
      </c>
      <c r="L18" s="5">
        <f t="shared" si="0"/>
        <v>10</v>
      </c>
      <c r="M18" s="6">
        <f t="shared" si="1"/>
        <v>1.4705882352941176E-2</v>
      </c>
      <c r="N18" t="str">
        <f t="shared" si="2"/>
        <v>Over Budget</v>
      </c>
    </row>
    <row r="19" spans="2:14" x14ac:dyDescent="0.3">
      <c r="B19">
        <v>14</v>
      </c>
      <c r="C19" t="s">
        <v>26</v>
      </c>
      <c r="D19" t="s">
        <v>27</v>
      </c>
      <c r="E19" t="s">
        <v>24</v>
      </c>
      <c r="F19" t="s">
        <v>28</v>
      </c>
      <c r="G19" t="s">
        <v>19</v>
      </c>
      <c r="H19" t="s">
        <v>34</v>
      </c>
      <c r="I19" s="7">
        <v>0</v>
      </c>
      <c r="J19" s="4">
        <v>190</v>
      </c>
      <c r="K19" s="4">
        <v>185</v>
      </c>
      <c r="L19" s="5">
        <f t="shared" si="0"/>
        <v>-5</v>
      </c>
      <c r="M19" s="6">
        <f t="shared" si="1"/>
        <v>-2.6315789473684209E-2</v>
      </c>
      <c r="N19" t="str">
        <f t="shared" si="2"/>
        <v>Under Budget</v>
      </c>
    </row>
    <row r="20" spans="2:14" x14ac:dyDescent="0.3">
      <c r="B20">
        <v>15</v>
      </c>
      <c r="C20" t="s">
        <v>29</v>
      </c>
      <c r="D20" t="s">
        <v>30</v>
      </c>
      <c r="E20" t="s">
        <v>24</v>
      </c>
      <c r="F20" t="s">
        <v>21</v>
      </c>
      <c r="G20" t="s">
        <v>19</v>
      </c>
      <c r="H20" t="s">
        <v>34</v>
      </c>
      <c r="I20" s="7">
        <v>5</v>
      </c>
      <c r="J20" s="4">
        <v>530</v>
      </c>
      <c r="K20" s="4">
        <v>525</v>
      </c>
      <c r="L20" s="5">
        <f t="shared" si="0"/>
        <v>-5</v>
      </c>
      <c r="M20" s="6">
        <f t="shared" si="1"/>
        <v>-9.433962264150943E-3</v>
      </c>
      <c r="N20" t="str">
        <f t="shared" si="2"/>
        <v>Under Budget</v>
      </c>
    </row>
    <row r="21" spans="2:14" x14ac:dyDescent="0.3">
      <c r="B21">
        <v>16</v>
      </c>
      <c r="C21" t="s">
        <v>29</v>
      </c>
      <c r="D21" t="s">
        <v>31</v>
      </c>
      <c r="E21" t="s">
        <v>32</v>
      </c>
      <c r="F21" t="s">
        <v>33</v>
      </c>
      <c r="G21" t="s">
        <v>19</v>
      </c>
      <c r="H21" t="s">
        <v>34</v>
      </c>
      <c r="I21" s="7">
        <v>0</v>
      </c>
      <c r="J21" s="4">
        <v>1250</v>
      </c>
      <c r="K21" s="4">
        <v>1240</v>
      </c>
      <c r="L21" s="5">
        <f t="shared" si="0"/>
        <v>-10</v>
      </c>
      <c r="M21" s="6">
        <f t="shared" si="1"/>
        <v>-8.0000000000000002E-3</v>
      </c>
      <c r="N21" t="str">
        <f t="shared" si="2"/>
        <v>Under Budget</v>
      </c>
    </row>
    <row r="22" spans="2:14" x14ac:dyDescent="0.3">
      <c r="B22">
        <v>17</v>
      </c>
      <c r="C22" t="s">
        <v>15</v>
      </c>
      <c r="D22" t="s">
        <v>16</v>
      </c>
      <c r="E22" t="s">
        <v>17</v>
      </c>
      <c r="F22" t="s">
        <v>18</v>
      </c>
      <c r="G22" t="s">
        <v>35</v>
      </c>
      <c r="H22" t="s">
        <v>20</v>
      </c>
      <c r="I22" s="7">
        <v>6</v>
      </c>
      <c r="J22" s="4">
        <v>1450</v>
      </c>
      <c r="K22" s="4">
        <v>1420</v>
      </c>
      <c r="L22" s="5">
        <f t="shared" si="0"/>
        <v>-30</v>
      </c>
      <c r="M22" s="6">
        <f t="shared" si="1"/>
        <v>-2.0689655172413793E-2</v>
      </c>
      <c r="N22" t="str">
        <f t="shared" si="2"/>
        <v>Under Budget</v>
      </c>
    </row>
    <row r="23" spans="2:14" x14ac:dyDescent="0.3">
      <c r="B23">
        <v>18</v>
      </c>
      <c r="C23" t="s">
        <v>15</v>
      </c>
      <c r="D23" t="s">
        <v>16</v>
      </c>
      <c r="E23" t="s">
        <v>17</v>
      </c>
      <c r="F23" t="s">
        <v>21</v>
      </c>
      <c r="G23" t="s">
        <v>35</v>
      </c>
      <c r="H23" t="s">
        <v>20</v>
      </c>
      <c r="I23" s="7">
        <v>4</v>
      </c>
      <c r="J23" s="4">
        <v>480</v>
      </c>
      <c r="K23" s="4">
        <v>510</v>
      </c>
      <c r="L23" s="5">
        <f t="shared" si="0"/>
        <v>30</v>
      </c>
      <c r="M23" s="6">
        <f t="shared" si="1"/>
        <v>6.25E-2</v>
      </c>
      <c r="N23" t="str">
        <f t="shared" si="2"/>
        <v>Over Budget</v>
      </c>
    </row>
    <row r="24" spans="2:14" x14ac:dyDescent="0.3">
      <c r="B24">
        <v>19</v>
      </c>
      <c r="C24" t="s">
        <v>22</v>
      </c>
      <c r="D24" t="s">
        <v>23</v>
      </c>
      <c r="E24" t="s">
        <v>24</v>
      </c>
      <c r="F24" t="s">
        <v>18</v>
      </c>
      <c r="G24" t="s">
        <v>35</v>
      </c>
      <c r="H24" t="s">
        <v>20</v>
      </c>
      <c r="I24" s="7">
        <v>7</v>
      </c>
      <c r="J24" s="4">
        <v>1800</v>
      </c>
      <c r="K24" s="4">
        <v>1750</v>
      </c>
      <c r="L24" s="5">
        <f t="shared" si="0"/>
        <v>-50</v>
      </c>
      <c r="M24" s="6">
        <f t="shared" si="1"/>
        <v>-2.7777777777777776E-2</v>
      </c>
      <c r="N24" t="str">
        <f t="shared" si="2"/>
        <v>Under Budget</v>
      </c>
    </row>
    <row r="25" spans="2:14" x14ac:dyDescent="0.3">
      <c r="B25">
        <v>20</v>
      </c>
      <c r="C25" t="s">
        <v>22</v>
      </c>
      <c r="D25" t="s">
        <v>23</v>
      </c>
      <c r="E25" t="s">
        <v>17</v>
      </c>
      <c r="F25" t="s">
        <v>25</v>
      </c>
      <c r="G25" t="s">
        <v>35</v>
      </c>
      <c r="H25" t="s">
        <v>20</v>
      </c>
      <c r="I25" s="7">
        <v>0</v>
      </c>
      <c r="J25" s="4">
        <v>300</v>
      </c>
      <c r="K25" s="4">
        <v>290</v>
      </c>
      <c r="L25" s="5">
        <f t="shared" si="0"/>
        <v>-10</v>
      </c>
      <c r="M25" s="6">
        <f t="shared" si="1"/>
        <v>-3.3333333333333333E-2</v>
      </c>
      <c r="N25" t="str">
        <f t="shared" si="2"/>
        <v>Under Budget</v>
      </c>
    </row>
    <row r="26" spans="2:14" x14ac:dyDescent="0.3">
      <c r="B26">
        <v>21</v>
      </c>
      <c r="C26" t="s">
        <v>26</v>
      </c>
      <c r="D26" t="s">
        <v>27</v>
      </c>
      <c r="E26" t="s">
        <v>24</v>
      </c>
      <c r="F26" t="s">
        <v>21</v>
      </c>
      <c r="G26" t="s">
        <v>35</v>
      </c>
      <c r="H26" t="s">
        <v>20</v>
      </c>
      <c r="I26" s="7">
        <v>8</v>
      </c>
      <c r="J26" s="4">
        <v>710</v>
      </c>
      <c r="K26" s="4">
        <v>720</v>
      </c>
      <c r="L26" s="5">
        <f t="shared" si="0"/>
        <v>10</v>
      </c>
      <c r="M26" s="6">
        <f t="shared" si="1"/>
        <v>1.4084507042253521E-2</v>
      </c>
      <c r="N26" t="str">
        <f t="shared" si="2"/>
        <v>Over Budget</v>
      </c>
    </row>
    <row r="27" spans="2:14" x14ac:dyDescent="0.3">
      <c r="B27">
        <v>22</v>
      </c>
      <c r="C27" t="s">
        <v>26</v>
      </c>
      <c r="D27" t="s">
        <v>27</v>
      </c>
      <c r="E27" t="s">
        <v>24</v>
      </c>
      <c r="F27" t="s">
        <v>28</v>
      </c>
      <c r="G27" t="s">
        <v>35</v>
      </c>
      <c r="H27" t="s">
        <v>20</v>
      </c>
      <c r="I27" s="7">
        <v>0</v>
      </c>
      <c r="J27" s="4">
        <v>205</v>
      </c>
      <c r="K27" s="4">
        <v>230</v>
      </c>
      <c r="L27" s="5">
        <f t="shared" si="0"/>
        <v>25</v>
      </c>
      <c r="M27" s="6">
        <f t="shared" si="1"/>
        <v>0.12195121951219512</v>
      </c>
      <c r="N27" t="str">
        <f t="shared" si="2"/>
        <v>Over Budget</v>
      </c>
    </row>
    <row r="28" spans="2:14" x14ac:dyDescent="0.3">
      <c r="B28">
        <v>23</v>
      </c>
      <c r="C28" t="s">
        <v>29</v>
      </c>
      <c r="D28" t="s">
        <v>30</v>
      </c>
      <c r="E28" t="s">
        <v>24</v>
      </c>
      <c r="F28" t="s">
        <v>21</v>
      </c>
      <c r="G28" t="s">
        <v>35</v>
      </c>
      <c r="H28" t="s">
        <v>20</v>
      </c>
      <c r="I28" s="7">
        <v>5</v>
      </c>
      <c r="J28" s="4">
        <v>550</v>
      </c>
      <c r="K28" s="4">
        <v>550</v>
      </c>
      <c r="L28" s="5">
        <f t="shared" si="0"/>
        <v>0</v>
      </c>
      <c r="M28" s="6">
        <f t="shared" si="1"/>
        <v>0</v>
      </c>
      <c r="N28" t="str">
        <f t="shared" si="2"/>
        <v>On Target</v>
      </c>
    </row>
    <row r="29" spans="2:14" x14ac:dyDescent="0.3">
      <c r="B29">
        <v>24</v>
      </c>
      <c r="C29" t="s">
        <v>29</v>
      </c>
      <c r="D29" t="s">
        <v>31</v>
      </c>
      <c r="E29" t="s">
        <v>32</v>
      </c>
      <c r="F29" t="s">
        <v>33</v>
      </c>
      <c r="G29" t="s">
        <v>35</v>
      </c>
      <c r="H29" t="s">
        <v>20</v>
      </c>
      <c r="I29" s="7">
        <v>0</v>
      </c>
      <c r="J29" s="4">
        <v>1300</v>
      </c>
      <c r="K29" s="4">
        <v>1315</v>
      </c>
      <c r="L29" s="5">
        <f t="shared" si="0"/>
        <v>15</v>
      </c>
      <c r="M29" s="6">
        <f t="shared" si="1"/>
        <v>1.1538461538461539E-2</v>
      </c>
      <c r="N29" t="str">
        <f t="shared" si="2"/>
        <v>Over Budget</v>
      </c>
    </row>
    <row r="30" spans="2:14" x14ac:dyDescent="0.3">
      <c r="B30" t="s">
        <v>36</v>
      </c>
      <c r="I30" s="7"/>
      <c r="J30" s="4">
        <f>SUBTOTAL(109,Financials[Budget])</f>
        <v>21450</v>
      </c>
      <c r="K30" s="4">
        <f>SUBTOTAL(109,Financials[Actual])</f>
        <v>21595</v>
      </c>
      <c r="L30" s="5">
        <f>SUBTOTAL(109,Financials[Variance])</f>
        <v>145</v>
      </c>
      <c r="M30" s="6"/>
      <c r="N30">
        <f>SUBTOTAL(103,Financials[Status])</f>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60ECB-73EA-4226-BC76-1284CFD6DF30}">
  <dimension ref="B2:L17"/>
  <sheetViews>
    <sheetView workbookViewId="0"/>
  </sheetViews>
  <sheetFormatPr defaultRowHeight="14.4" x14ac:dyDescent="0.3"/>
  <cols>
    <col min="2" max="2" width="67.109375" bestFit="1" customWidth="1"/>
    <col min="3" max="3" width="21.6640625" bestFit="1" customWidth="1"/>
    <col min="4" max="9" width="12.77734375" bestFit="1" customWidth="1"/>
    <col min="10" max="10" width="17.44140625" bestFit="1" customWidth="1"/>
    <col min="11" max="11" width="16.88671875" bestFit="1" customWidth="1"/>
    <col min="12" max="12" width="15.5546875" bestFit="1" customWidth="1"/>
    <col min="13" max="13" width="17.44140625" bestFit="1" customWidth="1"/>
    <col min="14" max="14" width="16.88671875" bestFit="1" customWidth="1"/>
    <col min="15" max="15" width="15.5546875" bestFit="1" customWidth="1"/>
  </cols>
  <sheetData>
    <row r="2" spans="2:12" ht="21" x14ac:dyDescent="0.4">
      <c r="B2" s="1" t="s">
        <v>37</v>
      </c>
    </row>
    <row r="3" spans="2:12" x14ac:dyDescent="0.3">
      <c r="B3" s="3" t="s">
        <v>38</v>
      </c>
    </row>
    <row r="5" spans="2:12" x14ac:dyDescent="0.3">
      <c r="D5" s="8" t="s">
        <v>7</v>
      </c>
      <c r="E5" s="8" t="s">
        <v>46</v>
      </c>
    </row>
    <row r="6" spans="2:12" x14ac:dyDescent="0.3">
      <c r="D6" t="s">
        <v>19</v>
      </c>
      <c r="G6" t="s">
        <v>35</v>
      </c>
      <c r="J6" t="s">
        <v>41</v>
      </c>
      <c r="K6" t="s">
        <v>42</v>
      </c>
      <c r="L6" t="s">
        <v>44</v>
      </c>
    </row>
    <row r="7" spans="2:12" x14ac:dyDescent="0.3">
      <c r="B7" s="8" t="s">
        <v>3</v>
      </c>
      <c r="C7" s="8" t="s">
        <v>4</v>
      </c>
      <c r="D7" t="s">
        <v>40</v>
      </c>
      <c r="E7" t="s">
        <v>43</v>
      </c>
      <c r="F7" t="s">
        <v>45</v>
      </c>
      <c r="G7" t="s">
        <v>40</v>
      </c>
      <c r="H7" t="s">
        <v>43</v>
      </c>
      <c r="I7" t="s">
        <v>45</v>
      </c>
    </row>
    <row r="8" spans="2:12" x14ac:dyDescent="0.3">
      <c r="B8" t="s">
        <v>29</v>
      </c>
      <c r="C8" t="s">
        <v>31</v>
      </c>
      <c r="D8" s="4">
        <v>2450</v>
      </c>
      <c r="E8" s="4">
        <v>2440</v>
      </c>
      <c r="F8" s="5">
        <v>-10</v>
      </c>
      <c r="G8" s="4">
        <v>1300</v>
      </c>
      <c r="H8" s="4">
        <v>1315</v>
      </c>
      <c r="I8" s="5">
        <v>15</v>
      </c>
      <c r="J8" s="4">
        <v>3750</v>
      </c>
      <c r="K8" s="4">
        <v>3755</v>
      </c>
      <c r="L8" s="5">
        <v>5</v>
      </c>
    </row>
    <row r="9" spans="2:12" x14ac:dyDescent="0.3">
      <c r="C9" t="s">
        <v>30</v>
      </c>
      <c r="D9" s="4">
        <v>1050</v>
      </c>
      <c r="E9" s="4">
        <v>1035</v>
      </c>
      <c r="F9" s="5">
        <v>-15</v>
      </c>
      <c r="G9" s="4">
        <v>550</v>
      </c>
      <c r="H9" s="4">
        <v>550</v>
      </c>
      <c r="I9" s="5">
        <v>0</v>
      </c>
      <c r="J9" s="4">
        <v>1600</v>
      </c>
      <c r="K9" s="4">
        <v>1585</v>
      </c>
      <c r="L9" s="5">
        <v>-15</v>
      </c>
    </row>
    <row r="10" spans="2:12" x14ac:dyDescent="0.3">
      <c r="B10" t="s">
        <v>47</v>
      </c>
      <c r="D10" s="4">
        <v>3500</v>
      </c>
      <c r="E10" s="4">
        <v>3475</v>
      </c>
      <c r="F10" s="5">
        <v>-25</v>
      </c>
      <c r="G10" s="4">
        <v>1850</v>
      </c>
      <c r="H10" s="4">
        <v>1865</v>
      </c>
      <c r="I10" s="5">
        <v>15</v>
      </c>
      <c r="J10" s="4">
        <v>5350</v>
      </c>
      <c r="K10" s="4">
        <v>5340</v>
      </c>
      <c r="L10" s="5">
        <v>-10</v>
      </c>
    </row>
    <row r="11" spans="2:12" x14ac:dyDescent="0.3">
      <c r="B11" t="s">
        <v>22</v>
      </c>
      <c r="C11" t="s">
        <v>23</v>
      </c>
      <c r="D11" s="4">
        <v>6850</v>
      </c>
      <c r="E11" s="4">
        <v>6990</v>
      </c>
      <c r="F11" s="5">
        <v>140</v>
      </c>
      <c r="G11" s="4">
        <v>2100</v>
      </c>
      <c r="H11" s="4">
        <v>2040</v>
      </c>
      <c r="I11" s="5">
        <v>-60</v>
      </c>
      <c r="J11" s="4">
        <v>8950</v>
      </c>
      <c r="K11" s="4">
        <v>9030</v>
      </c>
      <c r="L11" s="5">
        <v>80</v>
      </c>
    </row>
    <row r="12" spans="2:12" x14ac:dyDescent="0.3">
      <c r="B12" t="s">
        <v>48</v>
      </c>
      <c r="D12" s="4">
        <v>6850</v>
      </c>
      <c r="E12" s="4">
        <v>6990</v>
      </c>
      <c r="F12" s="5">
        <v>140</v>
      </c>
      <c r="G12" s="4">
        <v>2100</v>
      </c>
      <c r="H12" s="4">
        <v>2040</v>
      </c>
      <c r="I12" s="5">
        <v>-60</v>
      </c>
      <c r="J12" s="4">
        <v>8950</v>
      </c>
      <c r="K12" s="4">
        <v>9030</v>
      </c>
      <c r="L12" s="5">
        <v>80</v>
      </c>
    </row>
    <row r="13" spans="2:12" x14ac:dyDescent="0.3">
      <c r="B13" t="s">
        <v>26</v>
      </c>
      <c r="C13" t="s">
        <v>27</v>
      </c>
      <c r="D13" s="4">
        <v>1730</v>
      </c>
      <c r="E13" s="4">
        <v>1760</v>
      </c>
      <c r="F13" s="5">
        <v>30</v>
      </c>
      <c r="G13" s="4">
        <v>915</v>
      </c>
      <c r="H13" s="4">
        <v>950</v>
      </c>
      <c r="I13" s="5">
        <v>35</v>
      </c>
      <c r="J13" s="4">
        <v>2645</v>
      </c>
      <c r="K13" s="4">
        <v>2710</v>
      </c>
      <c r="L13" s="5">
        <v>65</v>
      </c>
    </row>
    <row r="14" spans="2:12" x14ac:dyDescent="0.3">
      <c r="B14" t="s">
        <v>49</v>
      </c>
      <c r="D14" s="4">
        <v>1730</v>
      </c>
      <c r="E14" s="4">
        <v>1760</v>
      </c>
      <c r="F14" s="5">
        <v>30</v>
      </c>
      <c r="G14" s="4">
        <v>915</v>
      </c>
      <c r="H14" s="4">
        <v>950</v>
      </c>
      <c r="I14" s="5">
        <v>35</v>
      </c>
      <c r="J14" s="4">
        <v>2645</v>
      </c>
      <c r="K14" s="4">
        <v>2710</v>
      </c>
      <c r="L14" s="5">
        <v>65</v>
      </c>
    </row>
    <row r="15" spans="2:12" x14ac:dyDescent="0.3">
      <c r="B15" t="s">
        <v>15</v>
      </c>
      <c r="C15" t="s">
        <v>16</v>
      </c>
      <c r="D15" s="4">
        <v>2575</v>
      </c>
      <c r="E15" s="4">
        <v>2585</v>
      </c>
      <c r="F15" s="5">
        <v>10</v>
      </c>
      <c r="G15" s="4">
        <v>1930</v>
      </c>
      <c r="H15" s="4">
        <v>1930</v>
      </c>
      <c r="I15" s="5">
        <v>0</v>
      </c>
      <c r="J15" s="4">
        <v>4505</v>
      </c>
      <c r="K15" s="4">
        <v>4515</v>
      </c>
      <c r="L15" s="5">
        <v>10</v>
      </c>
    </row>
    <row r="16" spans="2:12" x14ac:dyDescent="0.3">
      <c r="B16" t="s">
        <v>50</v>
      </c>
      <c r="D16" s="4">
        <v>2575</v>
      </c>
      <c r="E16" s="4">
        <v>2585</v>
      </c>
      <c r="F16" s="5">
        <v>10</v>
      </c>
      <c r="G16" s="4">
        <v>1930</v>
      </c>
      <c r="H16" s="4">
        <v>1930</v>
      </c>
      <c r="I16" s="5">
        <v>0</v>
      </c>
      <c r="J16" s="4">
        <v>4505</v>
      </c>
      <c r="K16" s="4">
        <v>4515</v>
      </c>
      <c r="L16" s="5">
        <v>10</v>
      </c>
    </row>
    <row r="17" spans="2:12" x14ac:dyDescent="0.3">
      <c r="B17" t="s">
        <v>39</v>
      </c>
      <c r="D17" s="4">
        <v>14655</v>
      </c>
      <c r="E17" s="4">
        <v>14810</v>
      </c>
      <c r="F17" s="5">
        <v>155</v>
      </c>
      <c r="G17" s="4">
        <v>6795</v>
      </c>
      <c r="H17" s="4">
        <v>6785</v>
      </c>
      <c r="I17" s="5">
        <v>-10</v>
      </c>
      <c r="J17" s="4">
        <v>21450</v>
      </c>
      <c r="K17" s="4">
        <v>21595</v>
      </c>
      <c r="L17" s="5">
        <v>145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2FB9F-957E-4D03-90F6-23070DA5DCE2}">
  <dimension ref="B2:H21"/>
  <sheetViews>
    <sheetView workbookViewId="0"/>
  </sheetViews>
  <sheetFormatPr defaultRowHeight="14.4" x14ac:dyDescent="0.3"/>
  <cols>
    <col min="2" max="2" width="68.77734375" bestFit="1" customWidth="1"/>
    <col min="3" max="3" width="21.6640625" bestFit="1" customWidth="1"/>
    <col min="4" max="4" width="10.6640625" bestFit="1" customWidth="1"/>
    <col min="5" max="5" width="11" bestFit="1" customWidth="1"/>
    <col min="6" max="6" width="11.5546875" bestFit="1" customWidth="1"/>
    <col min="7" max="7" width="20" bestFit="1" customWidth="1"/>
    <col min="8" max="8" width="13.88671875" bestFit="1" customWidth="1"/>
  </cols>
  <sheetData>
    <row r="2" spans="2:8" ht="21" x14ac:dyDescent="0.4">
      <c r="B2" s="1" t="s">
        <v>51</v>
      </c>
    </row>
    <row r="3" spans="2:8" x14ac:dyDescent="0.3">
      <c r="B3" s="3" t="s">
        <v>52</v>
      </c>
    </row>
    <row r="5" spans="2:8" x14ac:dyDescent="0.3">
      <c r="B5" s="10" t="s">
        <v>4</v>
      </c>
      <c r="C5" s="10" t="s">
        <v>53</v>
      </c>
      <c r="D5" s="10" t="s">
        <v>54</v>
      </c>
      <c r="E5" s="10" t="s">
        <v>45</v>
      </c>
      <c r="F5" s="10" t="s">
        <v>55</v>
      </c>
      <c r="G5" s="10" t="s">
        <v>56</v>
      </c>
      <c r="H5" s="10" t="s">
        <v>57</v>
      </c>
    </row>
    <row r="6" spans="2:8" x14ac:dyDescent="0.3">
      <c r="B6" t="s">
        <v>16</v>
      </c>
      <c r="C6" s="4">
        <f>SUMIFS(RawData!$J$6:$J$29, RawData!$D$6:$D$29, B6, RawData!$G$6:$G$29, "FY2028")</f>
        <v>2575</v>
      </c>
      <c r="D6" s="4">
        <f>SUMIFS(RawData!$K$6:$K$29, RawData!$D$6:$D$29, B6, RawData!$G$6:$G$29, "FY2028")</f>
        <v>2585</v>
      </c>
      <c r="E6" s="5">
        <f>D6 - C6</f>
        <v>10</v>
      </c>
      <c r="F6" s="6">
        <f>IF(C6&lt;&gt;0, E6 / C6, 0)</f>
        <v>3.8834951456310678E-3</v>
      </c>
      <c r="G6" s="6">
        <f>F6</f>
        <v>3.8834951456310678E-3</v>
      </c>
      <c r="H6" s="5">
        <f>E6</f>
        <v>10</v>
      </c>
    </row>
    <row r="7" spans="2:8" x14ac:dyDescent="0.3">
      <c r="B7" t="s">
        <v>23</v>
      </c>
      <c r="C7" s="4">
        <f>SUMIFS(RawData!$J$6:$J$29, RawData!$D$6:$D$29, B7, RawData!$G$6:$G$29, "FY2028")</f>
        <v>6850</v>
      </c>
      <c r="D7" s="4">
        <f>SUMIFS(RawData!$K$6:$K$29, RawData!$D$6:$D$29, B7, RawData!$G$6:$G$29, "FY2028")</f>
        <v>6990</v>
      </c>
      <c r="E7" s="5">
        <f>D7 - C7</f>
        <v>140</v>
      </c>
      <c r="F7" s="6">
        <f>IF(C7&lt;&gt;0, E7 / C7, 0)</f>
        <v>2.0437956204379562E-2</v>
      </c>
      <c r="G7" s="6">
        <f>F7</f>
        <v>2.0437956204379562E-2</v>
      </c>
      <c r="H7" s="5">
        <f>E7</f>
        <v>140</v>
      </c>
    </row>
    <row r="8" spans="2:8" x14ac:dyDescent="0.3">
      <c r="B8" t="s">
        <v>27</v>
      </c>
      <c r="C8" s="4">
        <f>SUMIFS(RawData!$J$6:$J$29, RawData!$D$6:$D$29, B8, RawData!$G$6:$G$29, "FY2028")</f>
        <v>1730</v>
      </c>
      <c r="D8" s="4">
        <f>SUMIFS(RawData!$K$6:$K$29, RawData!$D$6:$D$29, B8, RawData!$G$6:$G$29, "FY2028")</f>
        <v>1760</v>
      </c>
      <c r="E8" s="5">
        <f>D8 - C8</f>
        <v>30</v>
      </c>
      <c r="F8" s="6">
        <f>IF(C8&lt;&gt;0, E8 / C8, 0)</f>
        <v>1.7341040462427744E-2</v>
      </c>
      <c r="G8" s="6">
        <f>F8</f>
        <v>1.7341040462427744E-2</v>
      </c>
      <c r="H8" s="5">
        <f>E8</f>
        <v>30</v>
      </c>
    </row>
    <row r="9" spans="2:8" x14ac:dyDescent="0.3">
      <c r="B9" t="s">
        <v>30</v>
      </c>
      <c r="C9" s="4">
        <f>SUMIFS(RawData!$J$6:$J$29, RawData!$D$6:$D$29, B9, RawData!$G$6:$G$29, "FY2028")</f>
        <v>1050</v>
      </c>
      <c r="D9" s="4">
        <f>SUMIFS(RawData!$K$6:$K$29, RawData!$D$6:$D$29, B9, RawData!$G$6:$G$29, "FY2028")</f>
        <v>1035</v>
      </c>
      <c r="E9" s="5">
        <f>D9 - C9</f>
        <v>-15</v>
      </c>
      <c r="F9" s="6">
        <f>IF(C9&lt;&gt;0, E9 / C9, 0)</f>
        <v>-1.4285714285714285E-2</v>
      </c>
      <c r="G9" s="6">
        <f>F9</f>
        <v>-1.4285714285714285E-2</v>
      </c>
      <c r="H9" s="5">
        <f>E9</f>
        <v>-15</v>
      </c>
    </row>
    <row r="10" spans="2:8" x14ac:dyDescent="0.3">
      <c r="B10" t="s">
        <v>31</v>
      </c>
      <c r="C10" s="4">
        <f>SUMIFS(RawData!$J$6:$J$29, RawData!$D$6:$D$29, B10, RawData!$G$6:$G$29, "FY2028")</f>
        <v>2450</v>
      </c>
      <c r="D10" s="4">
        <f>SUMIFS(RawData!$K$6:$K$29, RawData!$D$6:$D$29, B10, RawData!$G$6:$G$29, "FY2028")</f>
        <v>2440</v>
      </c>
      <c r="E10" s="5">
        <f>D10 - C10</f>
        <v>-10</v>
      </c>
      <c r="F10" s="6">
        <f>IF(C10&lt;&gt;0, E10 / C10, 0)</f>
        <v>-4.0816326530612249E-3</v>
      </c>
      <c r="G10" s="6">
        <f>F10</f>
        <v>-4.0816326530612249E-3</v>
      </c>
      <c r="H10" s="5">
        <f>E10</f>
        <v>-10</v>
      </c>
    </row>
    <row r="13" spans="2:8" ht="17.399999999999999" x14ac:dyDescent="0.35">
      <c r="B13" s="11" t="s">
        <v>58</v>
      </c>
    </row>
    <row r="15" spans="2:8" x14ac:dyDescent="0.3">
      <c r="B15" s="9" t="s">
        <v>59</v>
      </c>
      <c r="C15" t="str">
        <f>_xlfn.UNIQUE(RawData!C6:C29)</f>
        <v>Retirement Services</v>
      </c>
    </row>
    <row r="21" spans="2:3" x14ac:dyDescent="0.3">
      <c r="B21" s="9" t="s">
        <v>60</v>
      </c>
      <c r="C21" t="str">
        <f>_xlfn._xlws.FILTER(RawData!D6:J29, RawData!J6:J29&gt;2500)</f>
        <v>CORE PAM Modernization</v>
      </c>
    </row>
  </sheetData>
  <conditionalFormatting sqref="G6:G10">
    <cfRule type="colorScale" priority="1">
      <colorScale>
        <cfvo type="min"/>
        <cfvo type="percentile" val="50"/>
        <cfvo type="max"/>
        <color rgb="FF7BBE63"/>
        <color rgb="FF84EBFF"/>
        <color rgb="FF6B69F8"/>
      </colorScale>
    </cfRule>
  </conditionalFormatting>
  <conditionalFormatting sqref="H6:H10">
    <cfRule type="dataBar" priority="2">
      <dataBar>
        <cfvo type="min"/>
        <cfvo type="max"/>
        <color rgb="FFC07000"/>
      </dataBar>
      <extLst>
        <ext xmlns:x14="http://schemas.microsoft.com/office/spreadsheetml/2009/9/main" uri="{B025F937-C7B1-47D3-B67F-A62EFF666E3E}">
          <x14:id>{C8BF2EF2-6D05-480E-BEDB-AAD27D0ECBE0}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8BF2EF2-6D05-480E-BEDB-AAD27D0ECBE0}">
            <x14:dataBar minLength="0" maxLength="100" axisPosition="none">
              <x14:cfvo type="min"/>
              <x14:cfvo type="max"/>
              <x14:negativeFillColor rgb="FF0000C0"/>
            </x14:dataBar>
          </x14:cfRule>
          <xm:sqref>H6:H10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9C700-F217-4B73-BE6F-CC2FF6931F3B}">
  <dimension ref="B2:F12"/>
  <sheetViews>
    <sheetView tabSelected="1" workbookViewId="0"/>
  </sheetViews>
  <sheetFormatPr defaultRowHeight="14.4" x14ac:dyDescent="0.3"/>
  <cols>
    <col min="2" max="2" width="80.77734375" bestFit="1" customWidth="1"/>
    <col min="3" max="3" width="26.6640625" bestFit="1" customWidth="1"/>
    <col min="4" max="4" width="31.77734375" bestFit="1" customWidth="1"/>
    <col min="5" max="5" width="11.109375" bestFit="1" customWidth="1"/>
    <col min="6" max="6" width="18.21875" bestFit="1" customWidth="1"/>
  </cols>
  <sheetData>
    <row r="2" spans="2:6" ht="21" x14ac:dyDescent="0.4">
      <c r="B2" s="1" t="s">
        <v>61</v>
      </c>
    </row>
    <row r="3" spans="2:6" x14ac:dyDescent="0.3">
      <c r="B3" s="2" t="s">
        <v>62</v>
      </c>
    </row>
    <row r="5" spans="2:6" x14ac:dyDescent="0.3">
      <c r="B5" s="9" t="s">
        <v>63</v>
      </c>
      <c r="C5" s="9" t="s">
        <v>64</v>
      </c>
      <c r="D5" s="9" t="s">
        <v>65</v>
      </c>
      <c r="E5" s="9" t="s">
        <v>66</v>
      </c>
      <c r="F5" s="9" t="s">
        <v>14</v>
      </c>
    </row>
    <row r="6" spans="2:6" x14ac:dyDescent="0.3">
      <c r="B6" t="s">
        <v>67</v>
      </c>
      <c r="C6" t="s">
        <v>68</v>
      </c>
      <c r="D6" t="s">
        <v>69</v>
      </c>
      <c r="E6" s="12">
        <f>ABS(SUMIFS(RawData!$K$6:$K$29, RawData!$G$6:$G$29, "FY2028") - SUM(FormattingAndLogic!$D$6:$D$10))</f>
        <v>0</v>
      </c>
      <c r="F6" s="13" t="str">
        <f>IF(E6=0,"PASS: EXACT MATCH","FAIL")</f>
        <v>PASS: EXACT MATCH</v>
      </c>
    </row>
    <row r="7" spans="2:6" x14ac:dyDescent="0.3">
      <c r="B7" t="s">
        <v>70</v>
      </c>
      <c r="C7" t="s">
        <v>71</v>
      </c>
      <c r="D7" t="s">
        <v>72</v>
      </c>
      <c r="E7" s="12">
        <f>ABS(SUMIFS(RawData!$J$6:$J$29, RawData!$G$6:$G$29, "FY2028") - SUM(FormattingAndLogic!$C$6:$C$10))</f>
        <v>0</v>
      </c>
      <c r="F7" s="13" t="str">
        <f>IF(E7=0,"PASS: EXACT MATCH","FAIL")</f>
        <v>PASS: EXACT MATCH</v>
      </c>
    </row>
    <row r="8" spans="2:6" x14ac:dyDescent="0.3">
      <c r="B8" t="s">
        <v>73</v>
      </c>
      <c r="C8" t="s">
        <v>74</v>
      </c>
      <c r="D8" t="s">
        <v>75</v>
      </c>
      <c r="E8" s="12">
        <f>ABS((SUM(FormattingAndLogic!$D$6:$D$10) - SUM(FormattingAndLogic!$C$6:$C$10)) - SUM(FormattingAndLogic!$E$6:$E$10))</f>
        <v>0</v>
      </c>
      <c r="F8" s="13" t="str">
        <f>IF(E8=0,"PASS: EXACT MATCH","FAIL")</f>
        <v>PASS: EXACT MATCH</v>
      </c>
    </row>
    <row r="9" spans="2:6" x14ac:dyDescent="0.3">
      <c r="B9" t="s">
        <v>76</v>
      </c>
      <c r="C9" t="s">
        <v>77</v>
      </c>
      <c r="D9" t="s">
        <v>78</v>
      </c>
      <c r="E9" s="12">
        <f>ABS((SUM(RawData!$K$6:$K$29)-SUM(RawData!$J$6:$J$29)) - SUM(RawData!$L$6:$L$29))</f>
        <v>0</v>
      </c>
      <c r="F9" s="13" t="str">
        <f>IF(E9=0,"PASS: EXACT MATCH","FAIL")</f>
        <v>PASS: EXACT MATCH</v>
      </c>
    </row>
    <row r="10" spans="2:6" x14ac:dyDescent="0.3">
      <c r="B10" t="s">
        <v>79</v>
      </c>
      <c r="C10" t="s">
        <v>80</v>
      </c>
      <c r="D10" t="s">
        <v>81</v>
      </c>
      <c r="E10" s="12">
        <f>ABS(SUM(Financials[Budget])-GETPIVOTDATA("Sum of Budget",PivotSummary!$B$5))</f>
        <v>0</v>
      </c>
      <c r="F10" s="13" t="str">
        <f>IFERROR(IF(E10=0,"PASS: EXACT MATCH","FAIL"),"FAIL")</f>
        <v>PASS: EXACT MATCH</v>
      </c>
    </row>
    <row r="11" spans="2:6" x14ac:dyDescent="0.3">
      <c r="B11" t="s">
        <v>82</v>
      </c>
      <c r="C11" t="s">
        <v>83</v>
      </c>
      <c r="D11" t="s">
        <v>84</v>
      </c>
      <c r="E11" s="12">
        <f>ABS(SUM(Financials[Actual])-GETPIVOTDATA("Sum of Actual",PivotSummary!$B$5))</f>
        <v>0</v>
      </c>
      <c r="F11" s="13" t="str">
        <f>IFERROR(IF(E11=0,"PASS: EXACT MATCH","FAIL"),"FAIL")</f>
        <v>PASS: EXACT MATCH</v>
      </c>
    </row>
    <row r="12" spans="2:6" x14ac:dyDescent="0.3">
      <c r="B12" t="s">
        <v>85</v>
      </c>
      <c r="C12" t="s">
        <v>86</v>
      </c>
      <c r="D12" t="s">
        <v>87</v>
      </c>
      <c r="E12" s="12">
        <f>ABS(SUM(Financials[Variance])-GETPIVOTDATA("Variance ($)",PivotSummary!$B$5))</f>
        <v>0</v>
      </c>
      <c r="F12" s="13" t="str">
        <f>IFERROR(IF(E12=0,"PASS: EXACT MATCH","FAIL"),"FAIL")</f>
        <v>PASS: EXACT MATCH</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PivotSummary</vt:lpstr>
      <vt:lpstr>FormattingAndLogic</vt:lpstr>
      <vt:lpstr>Reconciliation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Marcus Ehrlander</dc:creator>
  <cp:lastModifiedBy>Marcus Ehrlander</cp:lastModifiedBy>
  <dcterms:created xsi:type="dcterms:W3CDTF">2026-09-19T08:25:41Z</dcterms:created>
  <dcterms:modified xsi:type="dcterms:W3CDTF">2026-09-25T14:08:41Z</dcterms:modified>
</cp:coreProperties>
</file>